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Activity" sheetId="1" r:id="rId5"/>
    <sheet state="visible" name="Sleep" sheetId="2" r:id="rId6"/>
    <sheet state="visible" name="Activity" sheetId="3" r:id="rId7"/>
    <sheet state="visible" name="Activity vs Sleep" sheetId="4" r:id="rId8"/>
  </sheets>
  <definedNames>
    <definedName hidden="1" localSheetId="0" name="_xlnm._FilterDatabase">DailyActivity!$A$1:$Z$941</definedName>
    <definedName hidden="1" localSheetId="3" name="_xlnm._FilterDatabase">'Activity vs Sleep'!$A$1:$G$941</definedName>
  </definedNames>
  <calcPr/>
  <pivotCaches>
    <pivotCache cacheId="0" r:id="rId9"/>
    <pivotCache cacheId="1" r:id="rId10"/>
    <pivotCache cacheId="2" r:id="rId11"/>
    <pivotCache cacheId="3" r:id="rId12"/>
  </pivotCaches>
</workbook>
</file>

<file path=xl/sharedStrings.xml><?xml version="1.0" encoding="utf-8"?>
<sst xmlns="http://schemas.openxmlformats.org/spreadsheetml/2006/main" count="71" uniqueCount="43">
  <si>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</si>
  <si>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</si>
  <si>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</si>
  <si>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</si>
  <si>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</si>
  <si>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</si>
  <si>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</si>
  <si>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</si>
  <si>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</si>
  <si>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</si>
  <si>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</si>
  <si>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</si>
  <si>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</si>
  <si>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</si>
  <si>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</si>
  <si>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 xml:space="preserve"> </t>
  </si>
  <si>
    <t>SleepDay</t>
  </si>
  <si>
    <t>Uniqe ID</t>
  </si>
  <si>
    <t>TotalSleepRecords</t>
  </si>
  <si>
    <t>TotalMinutesAsleep</t>
  </si>
  <si>
    <t>TotalHoursAsleep</t>
  </si>
  <si>
    <t>TotalTimeInBed</t>
  </si>
  <si>
    <t>TotalHoursInBed</t>
  </si>
  <si>
    <t>Efektywność snu</t>
  </si>
  <si>
    <t>QualityOfSleep</t>
  </si>
  <si>
    <t>COUNT</t>
  </si>
  <si>
    <t>AV of TotalHoursInBed</t>
  </si>
  <si>
    <t>AV of Efektywność snu</t>
  </si>
  <si>
    <t>LOW</t>
  </si>
  <si>
    <t>OK</t>
  </si>
  <si>
    <t>HIGH</t>
  </si>
  <si>
    <t>Grand Total</t>
  </si>
  <si>
    <t>AV of TotalSteps</t>
  </si>
  <si>
    <t>AV of Calories</t>
  </si>
  <si>
    <t>Activity Level</t>
  </si>
  <si>
    <t>Activity days</t>
  </si>
  <si>
    <t>COUNTA of Activity Level</t>
  </si>
  <si>
    <t>AV of Activity days</t>
  </si>
  <si>
    <t>MEDIUM</t>
  </si>
  <si>
    <t>TotalSleepHours</t>
  </si>
  <si>
    <t>SleepEfficiency</t>
  </si>
  <si>
    <t>AV of TotalSleepHours</t>
  </si>
  <si>
    <t>AV of SleepEfficiency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</si>
</sst>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readingOrder="0"/>
    </xf>
    <xf borderId="0" fillId="0" fontId="2" numFmtId="46" xfId="0" applyAlignment="1" applyFont="1" applyNumberFormat="1">
      <alignment readingOrder="0"/>
    </xf>
    <xf borderId="0" fillId="0" fontId="2" numFmtId="10" xfId="0" applyFont="1" applyNumberFormat="1"/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2" numFmtId="46" xfId="0" applyFont="1" applyNumberFormat="1"/>
    <xf borderId="0" fillId="0" fontId="2" numFmtId="10" xfId="0" applyAlignment="1" applyFont="1" applyNumberFormat="1">
      <alignment readingOrder="0" shrinkToFit="0" wrapText="1"/>
    </xf>
    <xf borderId="0" fillId="0" fontId="2" numFmtId="164" xfId="0" applyFont="1" applyNumberFormat="1"/>
    <xf borderId="0" fillId="2" fontId="3" numFmtId="2" xfId="0" applyFill="1" applyFont="1" applyNumberFormat="1"/>
    <xf borderId="0" fillId="2" fontId="3" numFmtId="1" xfId="0" applyFont="1" applyNumberFormat="1"/>
    <xf borderId="0" fillId="2" fontId="4" numFmtId="2" xfId="0" applyAlignment="1" applyFont="1" applyNumberFormat="1">
      <alignment readingOrder="0"/>
    </xf>
    <xf borderId="0" fillId="0" fontId="2" numFmtId="1" xfId="0" applyFont="1" applyNumberFormat="1"/>
    <xf borderId="0" fillId="0" fontId="2" numFmtId="2" xfId="0" applyFont="1" applyNumberFormat="1"/>
  </cellXfs>
  <cellStyles count="1">
    <cellStyle xfId="0" name="Normal" builtinId="0"/>
  </cellStyles>
  <dxfs count="6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4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Relationship between the number of steps and calories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Activity!$C$1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 line: AV of Calories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Activity!$B$2:$B$1000</c:f>
            </c:numRef>
          </c:xVal>
          <c:yVal>
            <c:numRef>
              <c:f>Activity!$C$2:$C$1000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639649"/>
        <c:axId val="2000966711"/>
      </c:scatterChart>
      <c:valAx>
        <c:axId val="2236396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 of TotalSteps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966711"/>
      </c:valAx>
      <c:valAx>
        <c:axId val="2000966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 of Calories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639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User segmentation by activity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Activity!$H$4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Activity!$G$5:$G$7</c:f>
            </c:strRef>
          </c:cat>
          <c:val>
            <c:numRef>
              <c:f>Activity!$H$5:$H$7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Relationship between sleep duration and activity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'Activity vs Sleep'!$F$1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>Linia trendu: </c:name>
            <c:spPr>
              <a:ln w="19050">
                <a:solidFill>
                  <a:srgbClr val="0000FF"/>
                </a:solidFill>
              </a:ln>
            </c:spPr>
            <c:trendlineType val="linear"/>
            <c:dispRSqr val="1"/>
            <c:dispEq val="0"/>
          </c:trendline>
          <c:xVal>
            <c:numRef>
              <c:f>'Activity vs Sleep'!$D$2:$D$1000</c:f>
            </c:numRef>
          </c:xVal>
          <c:yVal>
            <c:numRef>
              <c:f>'Activity vs Sleep'!$F$2:$F$1000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003083"/>
        <c:axId val="1825229951"/>
      </c:scatterChart>
      <c:valAx>
        <c:axId val="9960030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5229951"/>
      </c:valAx>
      <c:valAx>
        <c:axId val="1825229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003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600075</xdr:colOff>
      <xdr:row>7</xdr:row>
      <xdr:rowOff>123825</xdr:rowOff>
    </xdr:from>
    <xdr:ext cx="5715000" cy="35337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600075</xdr:colOff>
      <xdr:row>25</xdr:row>
      <xdr:rowOff>66675</xdr:rowOff>
    </xdr:from>
    <xdr:ext cx="3543300" cy="2190750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0</xdr:row>
      <xdr:rowOff>180975</xdr:rowOff>
    </xdr:from>
    <xdr:ext cx="5781675" cy="3571875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14" sheet="Sleep"/>
  </cacheSource>
  <cacheFields>
    <cacheField name="Id" numFmtId="0">
      <sharedItems containsSemiMixedTypes="0" containsString="0" containsNumber="1" containsInteger="1">
        <n v="1.503960366E9"/>
        <n v="1.644430081E9"/>
        <n v="1.844505072E9"/>
        <n v="1.927972279E9"/>
        <n v="2.026352035E9"/>
        <n v="2.320127002E9"/>
        <n v="2.347167796E9"/>
        <n v="3.977333714E9"/>
        <n v="4.02033265E9"/>
        <n v="4.319703577E9"/>
        <n v="4.388161847E9"/>
        <n v="4.445114986E9"/>
        <n v="4.558609924E9"/>
        <n v="4.702921684E9"/>
        <n v="5.553957443E9"/>
        <n v="5.577150313E9"/>
        <n v="6.11766616E9"/>
        <n v="6.775888955E9"/>
        <n v="6.962181067E9"/>
        <n v="7.007744171E9"/>
        <n v="7.086361926E9"/>
        <n v="8.053475328E9"/>
        <n v="8.3785632E9"/>
        <n v="8.792009665E9"/>
      </sharedItems>
    </cacheField>
    <cacheField name="SleepDay" numFmtId="164">
      <sharedItems containsSemiMixedTypes="0" containsDate="1" containsString="0">
        <d v="2016-04-12T00:00:00Z"/>
        <d v="2016-04-13T00:00:00Z"/>
        <d v="2016-04-15T00:00:00Z"/>
        <d v="2016-04-16T00:00:00Z"/>
        <d v="2016-04-17T00:00:00Z"/>
        <d v="2016-04-19T00:00:00Z"/>
        <d v="2016-04-20T00:00:00Z"/>
        <d v="2016-04-21T00:00:00Z"/>
        <d v="2016-04-23T00:00:00Z"/>
        <d v="2016-04-24T00:00:00Z"/>
        <d v="2016-04-25T00:00:00Z"/>
        <d v="2016-04-26T00:00:00Z"/>
        <d v="2016-04-28T00:00:00Z"/>
        <d v="2016-04-29T00:00:00Z"/>
        <d v="2016-04-30T00:00:00Z"/>
        <d v="2016-05-01T00:00:00Z"/>
        <d v="2016-05-02T00:00:00Z"/>
        <d v="2016-05-03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4-14T00:00:00Z"/>
        <d v="2016-04-22T00:00:00Z"/>
        <d v="2016-04-27T00:00:00Z"/>
        <d v="2016-05-04T00:00:00Z"/>
        <d v="2016-05-12T00:00:00Z"/>
        <d v="2016-04-18T00:00:00Z"/>
      </sharedItems>
    </cacheField>
    <cacheField name="Uniqe ID" numFmtId="0">
      <sharedItems>
        <s v="150396036642472"/>
        <s v="150396036642473"/>
        <s v="150396036642475"/>
        <s v="150396036642476"/>
        <s v="150396036642477"/>
        <s v="150396036642479"/>
        <s v="150396036642480"/>
        <s v="150396036642481"/>
        <s v="150396036642483"/>
        <s v="150396036642484"/>
        <s v="150396036642485"/>
        <s v="150396036642486"/>
        <s v="150396036642488"/>
        <s v="150396036642489"/>
        <s v="150396036642490"/>
        <s v="150396036642491"/>
        <s v="150396036642492"/>
        <s v="150396036642493"/>
        <s v="150396036642495"/>
        <s v="150396036642496"/>
        <s v="150396036642497"/>
        <s v="150396036642498"/>
        <s v="150396036642499"/>
        <s v="150396036642500"/>
        <s v="150396036642501"/>
        <s v="164443008142489"/>
        <s v="164443008142490"/>
        <s v="164443008142492"/>
        <s v="164443008142498"/>
        <s v="184450507242475"/>
        <s v="184450507242490"/>
        <s v="184450507242491"/>
        <s v="192797227942472"/>
        <s v="192797227942473"/>
        <s v="192797227942475"/>
        <s v="192797227942486"/>
        <s v="192797227942488"/>
        <s v="202635203542472"/>
        <s v="202635203542473"/>
        <s v="202635203542474"/>
        <s v="202635203542475"/>
        <s v="202635203542476"/>
        <s v="202635203542477"/>
        <s v="202635203542479"/>
        <s v="202635203542480"/>
        <s v="202635203542481"/>
        <s v="202635203542482"/>
        <s v="202635203542483"/>
        <s v="202635203542484"/>
        <s v="202635203542485"/>
        <s v="202635203542487"/>
        <s v="202635203542488"/>
        <s v="202635203542489"/>
        <s v="202635203542490"/>
        <s v="202635203542491"/>
        <s v="202635203542492"/>
        <s v="202635203542494"/>
        <s v="202635203542495"/>
        <s v="202635203542496"/>
        <s v="202635203542497"/>
        <s v="202635203542498"/>
        <s v="202635203542499"/>
        <s v="202635203542500"/>
        <s v="202635203542501"/>
        <s v="202635203542502"/>
        <s v="232012700242483"/>
        <s v="234716779642473"/>
        <s v="234716779642474"/>
        <s v="234716779642475"/>
        <s v="234716779642477"/>
        <s v="234716779642478"/>
        <s v="234716779642479"/>
        <s v="234716779642481"/>
        <s v="234716779642482"/>
        <s v="234716779642483"/>
        <s v="234716779642484"/>
        <s v="234716779642485"/>
        <s v="234716779642486"/>
        <s v="234716779642487"/>
        <s v="234716779642488"/>
        <s v="234716779642489"/>
        <s v="397733371442472"/>
        <s v="397733371442473"/>
        <s v="397733371442474"/>
        <s v="397733371442475"/>
        <s v="397733371442476"/>
        <s v="397733371442477"/>
        <s v="397733371442478"/>
        <s v="397733371442479"/>
        <s v="397733371442480"/>
        <s v="397733371442481"/>
        <s v="397733371442482"/>
        <s v="397733371442483"/>
        <s v="397733371442484"/>
        <s v="397733371442485"/>
        <s v="397733371442486"/>
        <s v="397733371442487"/>
        <s v="397733371442488"/>
        <s v="397733371442489"/>
        <s v="397733371442490"/>
        <s v="397733371442491"/>
        <s v="397733371442492"/>
        <s v="397733371442493"/>
        <s v="397733371442494"/>
        <s v="397733371442495"/>
        <s v="397733371442496"/>
        <s v="397733371442497"/>
        <s v="397733371442498"/>
        <s v="397733371442500"/>
        <s v="402033265042472"/>
        <s v="402033265042476"/>
        <s v="402033265042493"/>
        <s v="402033265042494"/>
        <s v="402033265042495"/>
        <s v="402033265042496"/>
        <s v="402033265042498"/>
        <s v="402033265042500"/>
        <s v="431970357742474"/>
        <s v="431970357742475"/>
        <s v="431970357742476"/>
        <s v="431970357742478"/>
        <s v="431970357742479"/>
        <s v="431970357742480"/>
        <s v="431970357742481"/>
        <s v="431970357742482"/>
        <s v="431970357742483"/>
        <s v="431970357742484"/>
        <s v="431970357742485"/>
        <s v="431970357742486"/>
        <s v="431970357742487"/>
        <s v="431970357742488"/>
        <s v="431970357742489"/>
        <s v="431970357742490"/>
        <s v="431970357742491"/>
        <s v="431970357742492"/>
        <s v="431970357742493"/>
        <s v="431970357742496"/>
        <s v="431970357742497"/>
        <s v="431970357742498"/>
        <s v="431970357742499"/>
        <s v="431970357742500"/>
        <s v="431970357742501"/>
        <s v="431970357742502"/>
        <s v="438816184742475"/>
        <s v="438816184742476"/>
        <s v="438816184742477"/>
        <s v="438816184742478"/>
        <s v="438816184742479"/>
        <s v="438816184742480"/>
        <s v="438816184742481"/>
        <s v="438816184742482"/>
        <s v="438816184742483"/>
        <s v="438816184742484"/>
        <s v="438816184742486"/>
        <s v="438816184742487"/>
        <s v="438816184742488"/>
        <s v="438816184742490"/>
        <s v="438816184742491"/>
        <s v="438816184742492"/>
        <s v="438816184742494"/>
        <s v="438816184742495"/>
        <s v="438816184742497"/>
        <s v="438816184742498"/>
        <s v="438816184742499"/>
        <s v="438816184742500"/>
        <s v="438816184742501"/>
        <s v="444511498642472"/>
        <s v="444511498642473"/>
        <s v="444511498642474"/>
        <s v="444511498642475"/>
        <s v="444511498642476"/>
        <s v="444511498642477"/>
        <s v="444511498642479"/>
        <s v="444511498642480"/>
        <s v="444511498642481"/>
        <s v="444511498642482"/>
        <s v="444511498642485"/>
        <s v="444511498642486"/>
        <s v="444511498642487"/>
        <s v="444511498642488"/>
        <s v="444511498642489"/>
        <s v="444511498642490"/>
        <s v="444511498642491"/>
        <s v="444511498642492"/>
        <s v="444511498642493"/>
        <s v="444511498642494"/>
        <s v="444511498642495"/>
        <s v="444511498642496"/>
        <s v="444511498642497"/>
        <s v="444511498642498"/>
        <s v="444511498642499"/>
        <s v="444511498642500"/>
        <s v="444511498642501"/>
        <s v="444511498642502"/>
        <s v="455860992442481"/>
        <s v="455860992442486"/>
        <s v="455860992442489"/>
        <s v="455860992442491"/>
        <s v="455860992442498"/>
        <s v="470292168442472"/>
        <s v="470292168442473"/>
        <s v="470292168442474"/>
        <s v="470292168442475"/>
        <s v="470292168442476"/>
        <s v="470292168442477"/>
        <s v="470292168442478"/>
        <s v="470292168442479"/>
        <s v="470292168442480"/>
        <s v="470292168442481"/>
        <s v="470292168442483"/>
        <s v="470292168442484"/>
        <s v="470292168442485"/>
        <s v="470292168442486"/>
        <s v="470292168442487"/>
        <s v="470292168442488"/>
        <s v="470292168442489"/>
        <s v="470292168442490"/>
        <s v="470292168442493"/>
        <s v="470292168442494"/>
        <s v="470292168442495"/>
        <s v="470292168442496"/>
        <s v="470292168442497"/>
        <s v="470292168442499"/>
        <s v="470292168442500"/>
        <s v="470292168442501"/>
        <s v="470292168442502"/>
        <s v="555395744342472"/>
        <s v="555395744342473"/>
        <s v="555395744342474"/>
        <s v="555395744342475"/>
        <s v="555395744342476"/>
        <s v="555395744342477"/>
        <s v="555395744342478"/>
        <s v="555395744342479"/>
        <s v="555395744342480"/>
        <s v="555395744342481"/>
        <s v="555395744342482"/>
        <s v="555395744342483"/>
        <s v="555395744342484"/>
        <s v="555395744342485"/>
        <s v="555395744342486"/>
        <s v="555395744342487"/>
        <s v="555395744342488"/>
        <s v="555395744342489"/>
        <s v="555395744342490"/>
        <s v="555395744342491"/>
        <s v="555395744342492"/>
        <s v="555395744342493"/>
        <s v="555395744342494"/>
        <s v="555395744342495"/>
        <s v="555395744342496"/>
        <s v="555395744342497"/>
        <s v="555395744342498"/>
        <s v="555395744342499"/>
        <s v="555395744342500"/>
        <s v="555395744342501"/>
        <s v="555395744342502"/>
        <s v="557715031342472"/>
        <s v="557715031342473"/>
        <s v="557715031342474"/>
        <s v="557715031342475"/>
        <s v="557715031342476"/>
        <s v="557715031342477"/>
        <s v="557715031342478"/>
        <s v="557715031342479"/>
        <s v="557715031342480"/>
        <s v="557715031342481"/>
        <s v="557715031342482"/>
        <s v="557715031342483"/>
        <s v="557715031342484"/>
        <s v="557715031342485"/>
        <s v="557715031342486"/>
        <s v="557715031342487"/>
        <s v="557715031342488"/>
        <s v="557715031342489"/>
        <s v="557715031342490"/>
        <s v="557715031342491"/>
        <s v="557715031342492"/>
        <s v="557715031342493"/>
        <s v="557715031342494"/>
        <s v="557715031342495"/>
        <s v="557715031342500"/>
        <s v="557715031342501"/>
        <s v="611766616042476"/>
        <s v="611766616042477"/>
        <s v="611766616042478"/>
        <s v="611766616042479"/>
        <s v="611766616042480"/>
        <s v="611766616042481"/>
        <s v="611766616042482"/>
        <s v="611766616042483"/>
        <s v="611766616042484"/>
        <s v="611766616042487"/>
        <s v="611766616042488"/>
        <s v="611766616042489"/>
        <s v="611766616042491"/>
        <s v="611766616042495"/>
        <s v="611766616042496"/>
        <s v="611766616042497"/>
        <s v="611766616042498"/>
        <s v="611766616042499"/>
        <s v="677588895542473"/>
        <s v="677588895542474"/>
        <s v="677588895542475"/>
        <s v="696218106742472"/>
        <s v="696218106742473"/>
        <s v="696218106742474"/>
        <s v="696218106742475"/>
        <s v="696218106742476"/>
        <s v="696218106742477"/>
        <s v="696218106742478"/>
        <s v="696218106742479"/>
        <s v="696218106742480"/>
        <s v="696218106742481"/>
        <s v="696218106742482"/>
        <s v="696218106742483"/>
        <s v="696218106742484"/>
        <s v="696218106742485"/>
        <s v="696218106742486"/>
        <s v="696218106742487"/>
        <s v="696218106742488"/>
        <s v="696218106742489"/>
        <s v="696218106742490"/>
        <s v="696218106742491"/>
        <s v="696218106742492"/>
        <s v="696218106742493"/>
        <s v="696218106742494"/>
        <s v="696218106742495"/>
        <s v="696218106742496"/>
        <s v="696218106742497"/>
        <s v="696218106742498"/>
        <s v="696218106742499"/>
        <s v="696218106742500"/>
        <s v="696218106742501"/>
        <s v="696218106742502"/>
        <s v="700774417142476"/>
        <s v="700774417142491"/>
        <s v="708636192642472"/>
        <s v="708636192642473"/>
        <s v="708636192642474"/>
        <s v="708636192642475"/>
        <s v="708636192642479"/>
        <s v="708636192642480"/>
        <s v="708636192642481"/>
        <s v="708636192642482"/>
        <s v="708636192642484"/>
        <s v="708636192642485"/>
        <s v="708636192642486"/>
        <s v="708636192642487"/>
        <s v="708636192642488"/>
        <s v="708636192642490"/>
        <s v="708636192642491"/>
        <s v="708636192642492"/>
        <s v="708636192642493"/>
        <s v="708636192642494"/>
        <s v="708636192642496"/>
        <s v="708636192642497"/>
        <s v="708636192642498"/>
        <s v="708636192642499"/>
        <s v="708636192642501"/>
        <s v="708636192642502"/>
        <s v="805347532842480"/>
        <s v="805347532842483"/>
        <s v="805347532842497"/>
        <s v="837856320042472"/>
        <s v="837856320042473"/>
        <s v="837856320042474"/>
        <s v="837856320042475"/>
        <s v="837856320042476"/>
        <s v="837856320042477"/>
        <s v="837856320042478"/>
        <s v="837856320042479"/>
        <s v="837856320042480"/>
        <s v="837856320042481"/>
        <s v="837856320042482"/>
        <s v="837856320042483"/>
        <s v="837856320042484"/>
        <s v="837856320042485"/>
        <s v="837856320042486"/>
        <s v="837856320042487"/>
        <s v="837856320042488"/>
        <s v="837856320042489"/>
        <s v="837856320042490"/>
        <s v="837856320042491"/>
        <s v="837856320042492"/>
        <s v="837856320042493"/>
        <s v="837856320042494"/>
        <s v="837856320042495"/>
        <s v="837856320042496"/>
        <s v="837856320042497"/>
        <s v="837856320042498"/>
        <s v="837856320042499"/>
        <s v="837856320042500"/>
        <s v="837856320042501"/>
        <s v="837856320042502"/>
        <s v="879200966542472"/>
        <s v="879200966542473"/>
        <s v="879200966542474"/>
        <s v="879200966542475"/>
        <s v="879200966542480"/>
        <s v="879200966542482"/>
        <s v="879200966542483"/>
        <s v="879200966542487"/>
        <s v="879200966542488"/>
        <s v="879200966542489"/>
        <s v="879200966542490"/>
        <s v="879200966542491"/>
        <s v="879200966542492"/>
        <s v="879200966542493"/>
        <s v="879200966542494"/>
      </sharedItems>
    </cacheField>
    <cacheField name="TotalSleepRecords" numFmtId="0">
      <sharedItems containsSemiMixedTypes="0" containsString="0" containsNumber="1" containsInteger="1">
        <n v="1.0"/>
        <n v="2.0"/>
        <n v="3.0"/>
      </sharedItems>
    </cacheField>
    <cacheField name="TotalMinutesAsleep" numFmtId="0">
      <sharedItems containsSemiMixedTypes="0" containsString="0" containsNumber="1" containsInteger="1">
        <n v="327.0"/>
        <n v="384.0"/>
        <n v="412.0"/>
        <n v="340.0"/>
        <n v="700.0"/>
        <n v="304.0"/>
        <n v="360.0"/>
        <n v="325.0"/>
        <n v="361.0"/>
        <n v="430.0"/>
        <n v="277.0"/>
        <n v="245.0"/>
        <n v="366.0"/>
        <n v="341.0"/>
        <n v="404.0"/>
        <n v="369.0"/>
        <n v="273.0"/>
        <n v="247.0"/>
        <n v="334.0"/>
        <n v="331.0"/>
        <n v="594.0"/>
        <n v="338.0"/>
        <n v="383.0"/>
        <n v="285.0"/>
        <n v="119.0"/>
        <n v="124.0"/>
        <n v="796.0"/>
        <n v="137.0"/>
        <n v="644.0"/>
        <n v="722.0"/>
        <n v="590.0"/>
        <n v="750.0"/>
        <n v="398.0"/>
        <n v="475.0"/>
        <n v="296.0"/>
        <n v="166.0"/>
        <n v="503.0"/>
        <n v="531.0"/>
        <n v="545.0"/>
        <n v="523.0"/>
        <n v="524.0"/>
        <n v="437.0"/>
        <n v="498.0"/>
        <n v="461.0"/>
        <n v="477.0"/>
        <n v="520.0"/>
        <n v="522.0"/>
        <n v="555.0"/>
        <n v="506.0"/>
        <n v="508.0"/>
        <n v="513.0"/>
        <n v="490.0"/>
        <n v="573.0"/>
        <n v="527.0"/>
        <n v="511.0"/>
        <n v="538.0"/>
        <n v="468.0"/>
        <n v="541.0"/>
        <n v="357.0"/>
        <n v="456.0"/>
        <n v="61.0"/>
        <n v="467.0"/>
        <n v="445.0"/>
        <n v="452.0"/>
        <n v="556.0"/>
        <n v="500.0"/>
        <n v="465.0"/>
        <n v="460.0"/>
        <n v="405.0"/>
        <n v="374.0"/>
        <n v="442.0"/>
        <n v="433.0"/>
        <n v="436.0"/>
        <n v="448.0"/>
        <n v="408.0"/>
        <n v="411.0"/>
        <n v="274.0"/>
        <n v="295.0"/>
        <n v="291.0"/>
        <n v="424.0"/>
        <n v="283.0"/>
        <n v="381.0"/>
        <n v="219.0"/>
        <n v="152.0"/>
        <n v="332.0"/>
        <n v="355.0"/>
        <n v="235.0"/>
        <n v="310.0"/>
        <n v="262.0"/>
        <n v="250.0"/>
        <n v="349.0"/>
        <n v="261.0"/>
        <n v="333.0"/>
        <n v="237.0"/>
        <n v="230.0"/>
        <n v="292.0"/>
        <n v="213.0"/>
        <n v="318.0"/>
        <n v="323.0"/>
        <n v="259.0"/>
        <n v="312.0"/>
        <n v="501.0"/>
        <n v="77.0"/>
        <n v="322.0"/>
        <n v="478.0"/>
        <n v="226.0"/>
        <n v="385.0"/>
        <n v="364.0"/>
        <n v="535.0"/>
        <n v="515.0"/>
        <n v="59.0"/>
        <n v="533.0"/>
        <n v="692.0"/>
        <n v="488.0"/>
        <n v="505.0"/>
        <n v="286.0"/>
        <n v="497.0"/>
        <n v="484.0"/>
        <n v="474.0"/>
        <n v="450.0"/>
        <n v="507.0"/>
        <n v="602.0"/>
        <n v="487.0"/>
        <n v="529.0"/>
        <n v="302.0"/>
        <n v="499.0"/>
        <n v="426.0"/>
        <n v="619.0"/>
        <n v="99.0"/>
        <n v="329.0"/>
        <n v="421.0"/>
        <n v="82.0"/>
        <n v="552.0"/>
        <n v="319.0"/>
        <n v="439.0"/>
        <n v="428.0"/>
        <n v="409.0"/>
        <n v="547.0"/>
        <n v="368.0"/>
        <n v="390.0"/>
        <n v="471.0"/>
        <n v="472.0"/>
        <n v="62.0"/>
        <n v="354.0"/>
        <n v="469.0"/>
        <n v="429.0"/>
        <n v="370.0"/>
        <n v="441.0"/>
        <n v="337.0"/>
        <n v="462.0"/>
        <n v="98.0"/>
        <n v="388.0"/>
        <n v="328.0"/>
        <n v="353.0"/>
        <n v="419.0"/>
        <n v="106.0"/>
        <n v="502.0"/>
        <n v="417.0"/>
        <n v="401.0"/>
        <n v="457.0"/>
        <n v="483.0"/>
        <n v="126.0"/>
        <n v="103.0"/>
        <n v="171.0"/>
        <n v="115.0"/>
        <n v="123.0"/>
        <n v="425.0"/>
        <n v="400.0"/>
        <n v="253.0"/>
        <n v="382.0"/>
        <n v="591.0"/>
        <n v="293.0"/>
        <n v="454.0"/>
        <n v="480.0"/>
        <n v="432.0"/>
        <n v="479.0"/>
        <n v="414.0"/>
        <n v="435.0"/>
        <n v="416.0"/>
        <n v="455.0"/>
        <n v="377.0"/>
        <n v="651.0"/>
        <n v="350.0"/>
        <n v="658.0"/>
        <n v="399.0"/>
        <n v="631.0"/>
        <n v="553.0"/>
        <n v="347.0"/>
        <n v="775.0"/>
        <n v="622.0"/>
        <n v="380.0"/>
        <n v="447.0"/>
        <n v="568.0"/>
        <n v="453.0"/>
        <n v="418.0"/>
        <n v="463.0"/>
        <n v="438.0"/>
        <n v="392.0"/>
        <n v="406.0"/>
        <n v="549.0"/>
        <n v="449.0"/>
        <n v="543.0"/>
        <n v="459.0"/>
        <n v="379.0"/>
        <n v="525.0"/>
        <n v="603.0"/>
        <n v="74.0"/>
        <n v="504.0"/>
        <n v="431.0"/>
        <n v="336.0"/>
        <n v="493.0"/>
        <n v="492.0"/>
        <n v="542.0"/>
        <n v="393.0"/>
        <n v="600.0"/>
        <n v="423.0"/>
        <n v="391.0"/>
        <n v="630.0"/>
        <n v="427.0"/>
        <n v="476.0"/>
        <n v="451.0"/>
        <n v="528.0"/>
        <n v="440.0"/>
        <n v="422.0"/>
        <n v="466.0"/>
        <n v="394.0"/>
        <n v="443.0"/>
        <n v="298.0"/>
        <n v="489.0"/>
        <n v="516.0"/>
        <n v="79.0"/>
        <n v="58.0"/>
        <n v="514.0"/>
        <n v="681.0"/>
        <n v="446.0"/>
        <n v="485.0"/>
        <n v="420.0"/>
        <n v="530.0"/>
        <n v="481.0"/>
        <n v="444.0"/>
        <n v="486.0"/>
        <n v="611.0"/>
        <n v="387.0"/>
        <n v="396.0"/>
        <n v="565.0"/>
        <n v="458.0"/>
        <n v="550.0"/>
        <n v="351.0"/>
        <n v="359.0"/>
        <n v="342.0"/>
        <n v="496.0"/>
        <n v="363.0"/>
        <n v="339.0"/>
        <n v="402.0"/>
        <n v="343.0"/>
        <n v="415.0"/>
      </sharedItems>
    </cacheField>
    <cacheField name="TotalHoursAsleep" numFmtId="46">
      <sharedItems containsSemiMixedTypes="0" containsDate="1" containsString="0">
        <d v="1899-12-30T05:27:00Z"/>
        <d v="1899-12-30T06:24:00Z"/>
        <d v="1899-12-30T06:52:00Z"/>
        <d v="1899-12-30T05:40:00Z"/>
        <d v="1899-12-30T11:40:00Z"/>
        <d v="1899-12-30T05:04:00Z"/>
        <d v="1899-12-30T06:00:00Z"/>
        <d v="1899-12-30T05:25:00Z"/>
        <d v="1899-12-30T06:01:00Z"/>
        <d v="1899-12-30T07:10:00Z"/>
        <d v="1899-12-30T04:37:00Z"/>
        <d v="1899-12-30T04:05:00Z"/>
        <d v="1899-12-30T06:06:00Z"/>
        <d v="1899-12-30T05:41:00Z"/>
        <d v="1899-12-30T06:44:00Z"/>
        <d v="1899-12-30T06:09:00Z"/>
        <d v="1899-12-30T04:33:00Z"/>
        <d v="1899-12-30T04:07:00Z"/>
        <d v="1899-12-30T05:34:00Z"/>
        <d v="1899-12-30T05:31:00Z"/>
        <d v="1899-12-30T09:54:00Z"/>
        <d v="1899-12-30T05:38:00Z"/>
        <d v="1899-12-30T06:23:00Z"/>
        <d v="1899-12-30T04:45:00Z"/>
        <d v="1899-12-30T01:59:00Z"/>
        <d v="1899-12-30T02:04:00Z"/>
        <d v="1899-12-30T13:16:00Z"/>
        <d v="1899-12-30T02:17:00Z"/>
        <d v="1899-12-30T10:44:00Z"/>
        <d v="1899-12-30T12:02:00Z"/>
        <d v="1899-12-30T09:50:00Z"/>
        <d v="1899-12-30T12:30:00Z"/>
        <d v="1899-12-30T06:38:00Z"/>
        <d v="1899-12-30T07:55:00Z"/>
        <d v="1899-12-30T04:56:00Z"/>
        <d v="1899-12-30T02:46:00Z"/>
        <d v="1899-12-30T08:23:00Z"/>
        <d v="1899-12-30T08:51:00Z"/>
        <d v="1899-12-30T09:05:00Z"/>
        <d v="1899-12-30T08:43:00Z"/>
        <d v="1899-12-30T08:44:00Z"/>
        <d v="1899-12-30T07:17:00Z"/>
        <d v="1899-12-30T08:18:00Z"/>
        <d v="1899-12-30T07:41:00Z"/>
        <d v="1899-12-30T07:57:00Z"/>
        <d v="1899-12-30T08:40:00Z"/>
        <d v="1899-12-30T08:42:00Z"/>
        <d v="1899-12-30T09:15:00Z"/>
        <d v="1899-12-30T08:26:00Z"/>
        <d v="1899-12-30T08:28:00Z"/>
        <d v="1899-12-30T08:33:00Z"/>
        <d v="1899-12-30T08:10:00Z"/>
        <d v="1899-12-30T09:33:00Z"/>
        <d v="1899-12-30T08:47:00Z"/>
        <d v="1899-12-30T08:31:00Z"/>
        <d v="1899-12-30T08:58:00Z"/>
        <d v="1899-12-30T07:48:00Z"/>
        <d v="1899-12-30T09:01:00Z"/>
        <d v="1899-12-30T05:57:00Z"/>
        <d v="1899-12-30T07:36:00Z"/>
        <d v="1899-12-30T01:01:00Z"/>
        <d v="1899-12-30T07:47:00Z"/>
        <d v="1899-12-30T07:25:00Z"/>
        <d v="1899-12-30T07:32:00Z"/>
        <d v="1899-12-30T09:16:00Z"/>
        <d v="1899-12-30T08:20:00Z"/>
        <d v="1899-12-30T07:45:00Z"/>
        <d v="1899-12-30T07:40:00Z"/>
        <d v="1899-12-30T06:45:00Z"/>
        <d v="1899-12-30T06:14:00Z"/>
        <d v="1899-12-30T07:22:00Z"/>
        <d v="1899-12-30T07:13:00Z"/>
        <d v="1899-12-30T07:16:00Z"/>
        <d v="1899-12-30T07:28:00Z"/>
        <d v="1899-12-30T06:48:00Z"/>
        <d v="1899-12-30T06:51:00Z"/>
        <d v="1899-12-30T04:34:00Z"/>
        <d v="1899-12-30T04:55:00Z"/>
        <d v="1899-12-30T04:51:00Z"/>
        <d v="1899-12-30T07:04:00Z"/>
        <d v="1899-12-30T04:43:00Z"/>
        <d v="1899-12-30T06:21:00Z"/>
        <d v="1899-12-30T03:39:00Z"/>
        <d v="1899-12-30T02:32:00Z"/>
        <d v="1899-12-30T05:32:00Z"/>
        <d v="1899-12-30T05:55:00Z"/>
        <d v="1899-12-30T03:55:00Z"/>
        <d v="1899-12-30T05:10:00Z"/>
        <d v="1899-12-30T04:22:00Z"/>
        <d v="1899-12-30T04:10:00Z"/>
        <d v="1899-12-30T05:49:00Z"/>
        <d v="1899-12-30T04:21:00Z"/>
        <d v="1899-12-30T05:33:00Z"/>
        <d v="1899-12-30T03:57:00Z"/>
        <d v="1899-12-30T03:50:00Z"/>
        <d v="1899-12-30T04:52:00Z"/>
        <d v="1899-12-30T03:33:00Z"/>
        <d v="1899-12-30T05:18:00Z"/>
        <d v="1899-12-30T05:23:00Z"/>
        <d v="1899-12-30T04:19:00Z"/>
        <d v="1899-12-30T05:12:00Z"/>
        <d v="1899-12-30T08:21:00Z"/>
        <d v="1899-12-30T01:17:00Z"/>
        <d v="1899-12-30T05:22:00Z"/>
        <d v="1899-12-30T07:58:00Z"/>
        <d v="1899-12-30T03:46:00Z"/>
        <d v="1899-12-30T06:25:00Z"/>
        <d v="1899-12-30T06:04:00Z"/>
        <d v="1899-12-30T08:55:00Z"/>
        <d v="1899-12-30T08:35:00Z"/>
        <d v="1899-12-30T00:59:00Z"/>
        <d v="1899-12-30T08:53:00Z"/>
        <d v="1899-12-30T11:32:00Z"/>
        <d v="1899-12-30T08:08:00Z"/>
        <d v="1899-12-30T08:25:00Z"/>
        <d v="1899-12-30T04:46:00Z"/>
        <d v="1899-12-30T08:17:00Z"/>
        <d v="1899-12-30T08:04:00Z"/>
        <d v="1899-12-30T07:54:00Z"/>
        <d v="1899-12-30T07:30:00Z"/>
        <d v="1899-12-30T08:27:00Z"/>
        <d v="1899-12-30T10:02:00Z"/>
        <d v="1899-12-30T08:07:00Z"/>
        <d v="1899-12-30T08:49:00Z"/>
        <d v="1899-12-30T05:02:00Z"/>
        <d v="1899-12-30T08:19:00Z"/>
        <d v="1899-12-30T07:06:00Z"/>
        <d v="1899-12-30T10:19:00Z"/>
        <d v="1899-12-30T01:39:00Z"/>
        <d v="1899-12-30T05:29:00Z"/>
        <d v="1899-12-30T07:01:00Z"/>
        <d v="1899-12-30T01:22:00Z"/>
        <d v="1899-12-30T09:12:00Z"/>
        <d v="1899-12-30T05:19:00Z"/>
        <d v="1899-12-30T07:19:00Z"/>
        <d v="1899-12-30T07:08:00Z"/>
        <d v="1899-12-30T06:49:00Z"/>
        <d v="1899-12-30T09:07:00Z"/>
        <d v="1899-12-30T06:08:00Z"/>
        <d v="1899-12-30T06:30:00Z"/>
        <d v="1899-12-30T07:51:00Z"/>
        <d v="1899-12-30T07:52:00Z"/>
        <d v="1899-12-30T01:02:00Z"/>
        <d v="1899-12-30T05:54:00Z"/>
        <d v="1899-12-30T07:49:00Z"/>
        <d v="1899-12-30T07:09:00Z"/>
        <d v="1899-12-30T06:10:00Z"/>
        <d v="1899-12-30T07:21:00Z"/>
        <d v="1899-12-30T05:37:00Z"/>
        <d v="1899-12-30T07:42:00Z"/>
        <d v="1899-12-30T01:38:00Z"/>
        <d v="1899-12-30T06:28:00Z"/>
        <d v="1899-12-30T05:28:00Z"/>
        <d v="1899-12-30T05:53:00Z"/>
        <d v="1899-12-30T06:59:00Z"/>
        <d v="1899-12-30T01:46:00Z"/>
        <d v="1899-12-30T08:22:00Z"/>
        <d v="1899-12-30T06:57:00Z"/>
        <d v="1899-12-30T06:41:00Z"/>
        <d v="1899-12-30T07:37:00Z"/>
        <d v="1899-12-30T08:03:00Z"/>
        <d v="1899-12-30T02:06:00Z"/>
        <d v="1899-12-30T01:43:00Z"/>
        <d v="1899-12-30T02:51:00Z"/>
        <d v="1899-12-30T01:55:00Z"/>
        <d v="1899-12-30T02:03:00Z"/>
        <d v="1899-12-30T07:05:00Z"/>
        <d v="1899-12-30T06:40:00Z"/>
        <d v="1899-12-30T04:13:00Z"/>
        <d v="1899-12-30T06:22:00Z"/>
        <d v="1899-12-30T09:51:00Z"/>
        <d v="1899-12-30T04:53:00Z"/>
        <d v="1899-12-30T07:34:00Z"/>
        <d v="1899-12-30T08:00:00Z"/>
        <d v="1899-12-30T07:12:00Z"/>
        <d v="1899-12-30T07:59:00Z"/>
        <d v="1899-12-30T06:54:00Z"/>
        <d v="1899-12-30T07:15:00Z"/>
        <d v="1899-12-30T06:56:00Z"/>
        <d v="1899-12-30T07:35:00Z"/>
        <d v="1899-12-30T06:17:00Z"/>
        <d v="1899-12-30T10:51:00Z"/>
        <d v="1899-12-30T05:50:00Z"/>
        <d v="1899-12-30T10:58:00Z"/>
        <d v="1899-12-30T06:39:00Z"/>
        <d v="1899-12-30T10:31:00Z"/>
        <d v="1899-12-30T09:13:00Z"/>
        <d v="1899-12-30T05:47:00Z"/>
        <d v="1899-12-30T12:55:00Z"/>
        <d v="1899-12-30T10:22:00Z"/>
        <d v="1899-12-30T06:20:00Z"/>
        <d v="1899-12-30T07:27:00Z"/>
        <d v="1899-12-30T09:28:00Z"/>
        <d v="1899-12-30T07:33:00Z"/>
        <d v="1899-12-30T06:58:00Z"/>
        <d v="1899-12-30T07:43:00Z"/>
        <d v="1899-12-30T07:18:00Z"/>
        <d v="1899-12-30T06:32:00Z"/>
        <d v="1899-12-30T06:46:00Z"/>
        <d v="1899-12-30T09:09:00Z"/>
        <d v="1899-12-30T07:29:00Z"/>
        <d v="1899-12-30T09:03:00Z"/>
        <d v="1899-12-30T07:39:00Z"/>
        <d v="1899-12-30T06:19:00Z"/>
        <d v="1899-12-30T08:45:00Z"/>
        <d v="1899-12-30T10:03:00Z"/>
        <d v="1899-12-30T01:14:00Z"/>
        <d v="1899-12-30T08:24:00Z"/>
        <d v="1899-12-30T07:11:00Z"/>
        <d v="1899-12-30T05:36:00Z"/>
        <d v="1899-12-30T08:13:00Z"/>
        <d v="1899-12-30T08:12:00Z"/>
        <d v="1899-12-30T09:02:00Z"/>
        <d v="1899-12-30T06:33:00Z"/>
        <d v="1899-12-30T10:00:00Z"/>
        <d v="1899-12-30T07:03:00Z"/>
        <d v="1899-12-30T06:31:00Z"/>
        <d v="1899-12-30T10:30:00Z"/>
        <d v="1899-12-30T07:07:00Z"/>
        <d v="1899-12-30T07:56:00Z"/>
        <d v="1899-12-30T07:31:00Z"/>
        <d v="1899-12-30T08:48:00Z"/>
        <d v="1899-12-30T07:20:00Z"/>
        <d v="1899-12-30T07:02:00Z"/>
        <d v="1899-12-30T07:46:00Z"/>
        <d v="1899-12-30T06:34:00Z"/>
        <d v="1899-12-30T07:23:00Z"/>
        <d v="1899-12-30T04:58:00Z"/>
        <d v="1899-12-30T08:09:00Z"/>
        <d v="1899-12-30T08:36:00Z"/>
        <d v="1899-12-30T01:19:00Z"/>
        <d v="1899-12-30T00:58:00Z"/>
        <d v="1899-12-30T08:34:00Z"/>
        <d v="1899-12-30T11:21:00Z"/>
        <d v="1899-12-30T07:26:00Z"/>
        <d v="1899-12-30T08:05:00Z"/>
        <d v="1899-12-30T07:00:00Z"/>
        <d v="1899-12-30T08:50:00Z"/>
        <d v="1899-12-30T08:01:00Z"/>
        <d v="1899-12-30T07:24:00Z"/>
        <d v="1899-12-30T08:06:00Z"/>
        <d v="1899-12-30T10:11:00Z"/>
        <d v="1899-12-30T06:27:00Z"/>
        <d v="1899-12-30T06:36:00Z"/>
        <d v="1899-12-30T09:25:00Z"/>
        <d v="1899-12-30T07:38:00Z"/>
        <d v="1899-12-30T09:10:00Z"/>
        <d v="1899-12-30T05:51:00Z"/>
        <d v="1899-12-30T05:59:00Z"/>
        <d v="1899-12-30T05:42:00Z"/>
        <d v="1899-12-30T08:16:00Z"/>
        <d v="1899-12-30T06:03:00Z"/>
        <d v="1899-12-30T05:39:00Z"/>
        <d v="1899-12-30T06:42:00Z"/>
        <d v="1899-12-30T05:43:00Z"/>
        <d v="1899-12-30T06:55:00Z"/>
      </sharedItems>
    </cacheField>
    <cacheField name="TotalTimeInBed" numFmtId="0">
      <sharedItems containsSemiMixedTypes="0" containsString="0" containsNumber="1" containsInteger="1">
        <n v="346.0"/>
        <n v="407.0"/>
        <n v="442.0"/>
        <n v="367.0"/>
        <n v="712.0"/>
        <n v="320.0"/>
        <n v="377.0"/>
        <n v="364.0"/>
        <n v="384.0"/>
        <n v="449.0"/>
        <n v="323.0"/>
        <n v="274.0"/>
        <n v="393.0"/>
        <n v="354.0"/>
        <n v="425.0"/>
        <n v="396.0"/>
        <n v="309.0"/>
        <n v="296.0"/>
        <n v="264.0"/>
        <n v="349.0"/>
        <n v="611.0"/>
        <n v="342.0"/>
        <n v="403.0"/>
        <n v="306.0"/>
        <n v="127.0"/>
        <n v="142.0"/>
        <n v="961.0"/>
        <n v="154.0"/>
        <n v="775.0"/>
        <n v="422.0"/>
        <n v="499.0"/>
        <n v="315.0"/>
        <n v="178.0"/>
        <n v="546.0"/>
        <n v="565.0"/>
        <n v="568.0"/>
        <n v="573.0"/>
        <n v="567.0"/>
        <n v="498.0"/>
        <n v="540.0"/>
        <n v="510.0"/>
        <n v="514.0"/>
        <n v="545.0"/>
        <n v="554.0"/>
        <n v="591.0"/>
        <n v="531.0"/>
        <n v="607.0"/>
        <n v="543.0"/>
        <n v="560.0"/>
        <n v="485.0"/>
        <n v="548.0"/>
        <n v="521.0"/>
        <n v="556.0"/>
        <n v="380.0"/>
        <n v="553.0"/>
        <n v="69.0"/>
        <n v="489.0"/>
        <n v="504.0"/>
        <n v="602.0"/>
        <n v="557.0"/>
        <n v="484.0"/>
        <n v="461.0"/>
        <n v="386.0"/>
        <n v="459.0"/>
        <n v="471.0"/>
        <n v="490.0"/>
        <n v="450.0"/>
        <n v="473.0"/>
        <n v="469.0"/>
        <n v="456.0"/>
        <n v="397.0"/>
        <n v="566.0"/>
        <n v="522.0"/>
        <n v="395.0"/>
        <n v="305.0"/>
        <n v="512.0"/>
        <n v="476.0"/>
        <n v="372.0"/>
        <n v="526.0"/>
        <n v="467.0"/>
        <n v="371.0"/>
        <n v="423.0"/>
        <n v="478.0"/>
        <n v="382.0"/>
        <n v="626.0"/>
        <n v="500.0"/>
        <n v="336.0"/>
        <n v="480.0"/>
        <n v="443.0"/>
        <n v="452.0"/>
        <n v="541.0"/>
        <n v="77.0"/>
        <n v="332.0"/>
        <n v="536.0"/>
        <n v="248.0"/>
        <n v="408.0"/>
        <n v="402.0"/>
        <n v="494.0"/>
        <n v="491.0"/>
        <n v="551.0"/>
        <n v="65.0"/>
        <n v="550.0"/>
        <n v="722.0"/>
        <n v="501.0"/>
        <n v="506.0"/>
        <n v="516.0"/>
        <n v="307.0"/>
        <n v="530.0"/>
        <n v="638.0"/>
        <n v="517.0"/>
        <n v="558.0"/>
        <n v="321.0"/>
        <n v="448.0"/>
        <n v="641.0"/>
        <n v="104.0"/>
        <n v="338.0"/>
        <n v="451.0"/>
        <n v="458.0"/>
        <n v="85.0"/>
        <n v="595.0"/>
        <n v="430.0"/>
        <n v="597.0"/>
        <n v="376.0"/>
        <n v="414.0"/>
        <n v="495.0"/>
        <n v="496.0"/>
        <n v="375.0"/>
        <n v="457.0"/>
        <n v="406.0"/>
        <n v="492.0"/>
        <n v="379.0"/>
        <n v="107.0"/>
        <n v="424.0"/>
        <n v="462.0"/>
        <n v="417.0"/>
        <n v="345.0"/>
        <n v="391.0"/>
        <n v="374.0"/>
        <n v="108.0"/>
        <n v="353.0"/>
        <n v="542.0"/>
        <n v="363.0"/>
        <n v="513.0"/>
        <n v="436.0"/>
        <n v="533.0"/>
        <n v="426.0"/>
        <n v="137.0"/>
        <n v="121.0"/>
        <n v="179.0"/>
        <n v="129.0"/>
        <n v="134.0"/>
        <n v="439.0"/>
        <n v="415.0"/>
        <n v="257.0"/>
        <n v="612.0"/>
        <n v="312.0"/>
        <n v="487.0"/>
        <n v="468.0"/>
        <n v="434.0"/>
        <n v="475.0"/>
        <n v="429.0"/>
        <n v="447.0"/>
        <n v="373.0"/>
        <n v="428.0"/>
        <n v="431.0"/>
        <n v="366.0"/>
        <n v="464.0"/>
        <n v="488.0"/>
        <n v="418.0"/>
        <n v="409.0"/>
        <n v="686.0"/>
        <n v="410.0"/>
        <n v="678.0"/>
        <n v="725.0"/>
        <n v="640.0"/>
        <n v="453.0"/>
        <n v="843.0"/>
        <n v="470.0"/>
        <n v="608.0"/>
        <n v="486.0"/>
        <n v="438.0"/>
        <n v="497.0"/>
        <n v="413.0"/>
        <n v="445.0"/>
        <n v="583.0"/>
        <n v="465.0"/>
        <n v="437.0"/>
        <n v="615.0"/>
        <n v="433.0"/>
        <n v="398.0"/>
        <n v="634.0"/>
        <n v="78.0"/>
        <n v="562.0"/>
        <n v="350.0"/>
        <n v="502.0"/>
        <n v="539.0"/>
        <n v="416.0"/>
        <n v="636.0"/>
        <n v="575.0"/>
        <n v="698.0"/>
        <n v="507.0"/>
        <n v="603.0"/>
        <n v="260.0"/>
        <n v="441.0"/>
        <n v="387.0"/>
        <n v="679.0"/>
        <n v="535.0"/>
        <n v="446.0"/>
        <n v="435.0"/>
        <n v="482.0"/>
        <n v="455.0"/>
        <n v="334.0"/>
        <n v="569.0"/>
        <n v="481.0"/>
        <n v="82.0"/>
        <n v="61.0"/>
        <n v="525.0"/>
        <n v="483.0"/>
        <n v="411.0"/>
        <n v="704.0"/>
        <n v="479.0"/>
        <n v="333.0"/>
        <n v="463.0"/>
        <n v="493.0"/>
        <n v="337.0"/>
        <n v="75.0"/>
        <n v="356.0"/>
        <n v="689.0"/>
        <n v="421.0"/>
        <n v="584.0"/>
        <n v="600.0"/>
        <n v="555.0"/>
        <n v="385.0"/>
        <n v="477.0"/>
        <n v="355.0"/>
        <n v="606.0"/>
        <n v="399.0"/>
        <n v="552.0"/>
        <n v="503.0"/>
        <n v="547.0"/>
        <n v="360.0"/>
        <n v="527.0"/>
      </sharedItems>
    </cacheField>
    <cacheField name="TotalHoursInBed" numFmtId="46">
      <sharedItems containsSemiMixedTypes="0" containsDate="1" containsString="0">
        <d v="1899-12-30T05:46:00Z"/>
        <d v="1899-12-30T06:47:00Z"/>
        <d v="1899-12-30T07:22:00Z"/>
        <d v="1899-12-30T06:07:00Z"/>
        <d v="1899-12-30T11:52:00Z"/>
        <d v="1899-12-30T05:20:00Z"/>
        <d v="1899-12-30T06:17:00Z"/>
        <d v="1899-12-30T06:04:00Z"/>
        <d v="1899-12-30T06:24:00Z"/>
        <d v="1899-12-30T07:29:00Z"/>
        <d v="1899-12-30T05:23:00Z"/>
        <d v="1899-12-30T04:34:00Z"/>
        <d v="1899-12-30T06:33:00Z"/>
        <d v="1899-12-30T05:54:00Z"/>
        <d v="1899-12-30T07:05:00Z"/>
        <d v="1899-12-30T06:36:00Z"/>
        <d v="1899-12-30T05:09:00Z"/>
        <d v="1899-12-30T04:56:00Z"/>
        <d v="1899-12-30T04:24:00Z"/>
        <d v="1899-12-30T05:49:00Z"/>
        <d v="1899-12-30T10:11:00Z"/>
        <d v="1899-12-30T05:42:00Z"/>
        <d v="1899-12-30T06:43:00Z"/>
        <d v="1899-12-30T05:06:00Z"/>
        <d v="1899-12-30T02:07:00Z"/>
        <d v="1899-12-30T02:22:00Z"/>
        <d v="1899-12-30T16:01:00Z"/>
        <d v="1899-12-30T02:34:00Z"/>
        <d v="1899-12-30T12:55:00Z"/>
        <d v="1899-12-30T07:02:00Z"/>
        <d v="1899-12-30T08:19:00Z"/>
        <d v="1899-12-30T05:15:00Z"/>
        <d v="1899-12-30T02:58:00Z"/>
        <d v="1899-12-30T09:06:00Z"/>
        <d v="1899-12-30T09:25:00Z"/>
        <d v="1899-12-30T09:28:00Z"/>
        <d v="1899-12-30T09:33:00Z"/>
        <d v="1899-12-30T09:27:00Z"/>
        <d v="1899-12-30T08:18:00Z"/>
        <d v="1899-12-30T09:00:00Z"/>
        <d v="1899-12-30T08:30:00Z"/>
        <d v="1899-12-30T08:34:00Z"/>
        <d v="1899-12-30T09:05:00Z"/>
        <d v="1899-12-30T09:14:00Z"/>
        <d v="1899-12-30T09:51:00Z"/>
        <d v="1899-12-30T08:51:00Z"/>
        <d v="1899-12-30T10:07:00Z"/>
        <d v="1899-12-30T09:03:00Z"/>
        <d v="1899-12-30T09:20:00Z"/>
        <d v="1899-12-30T08:05:00Z"/>
        <d v="1899-12-30T09:08:00Z"/>
        <d v="1899-12-30T08:41:00Z"/>
        <d v="1899-12-30T09:16:00Z"/>
        <d v="1899-12-30T06:20:00Z"/>
        <d v="1899-12-30T09:13:00Z"/>
        <d v="1899-12-30T01:09:00Z"/>
        <d v="1899-12-30T08:09:00Z"/>
        <d v="1899-12-30T08:24:00Z"/>
        <d v="1899-12-30T10:02:00Z"/>
        <d v="1899-12-30T09:17:00Z"/>
        <d v="1899-12-30T08:04:00Z"/>
        <d v="1899-12-30T07:41:00Z"/>
        <d v="1899-12-30T06:26:00Z"/>
        <d v="1899-12-30T07:39:00Z"/>
        <d v="1899-12-30T07:51:00Z"/>
        <d v="1899-12-30T08:10:00Z"/>
        <d v="1899-12-30T07:30:00Z"/>
        <d v="1899-12-30T07:53:00Z"/>
        <d v="1899-12-30T07:49:00Z"/>
        <d v="1899-12-30T07:36:00Z"/>
        <d v="1899-12-30T06:37:00Z"/>
        <d v="1899-12-30T09:26:00Z"/>
        <d v="1899-12-30T08:42:00Z"/>
        <d v="1899-12-30T06:35:00Z"/>
        <d v="1899-12-30T05:05:00Z"/>
        <d v="1899-12-30T08:32:00Z"/>
        <d v="1899-12-30T07:56:00Z"/>
        <d v="1899-12-30T06:12:00Z"/>
        <d v="1899-12-30T08:46:00Z"/>
        <d v="1899-12-30T07:47:00Z"/>
        <d v="1899-12-30T06:11:00Z"/>
        <d v="1899-12-30T07:03:00Z"/>
        <d v="1899-12-30T07:58:00Z"/>
        <d v="1899-12-30T06:22:00Z"/>
        <d v="1899-12-30T10:26:00Z"/>
        <d v="1899-12-30T08:20:00Z"/>
        <d v="1899-12-30T05:36:00Z"/>
        <d v="1899-12-30T08:00:00Z"/>
        <d v="1899-12-30T07:23:00Z"/>
        <d v="1899-12-30T07:32:00Z"/>
        <d v="1899-12-30T09:01:00Z"/>
        <d v="1899-12-30T01:17:00Z"/>
        <d v="1899-12-30T05:32:00Z"/>
        <d v="1899-12-30T08:56:00Z"/>
        <d v="1899-12-30T04:08:00Z"/>
        <d v="1899-12-30T06:48:00Z"/>
        <d v="1899-12-30T06:42:00Z"/>
        <d v="1899-12-30T08:14:00Z"/>
        <d v="1899-12-30T08:11:00Z"/>
        <d v="1899-12-30T09:11:00Z"/>
        <d v="1899-12-30T01:05:00Z"/>
        <d v="1899-12-30T09:10:00Z"/>
        <d v="1899-12-30T12:02:00Z"/>
        <d v="1899-12-30T08:21:00Z"/>
        <d v="1899-12-30T08:26:00Z"/>
        <d v="1899-12-30T08:36:00Z"/>
        <d v="1899-12-30T05:07:00Z"/>
        <d v="1899-12-30T08:50:00Z"/>
        <d v="1899-12-30T10:38:00Z"/>
        <d v="1899-12-30T08:37:00Z"/>
        <d v="1899-12-30T09:18:00Z"/>
        <d v="1899-12-30T05:21:00Z"/>
        <d v="1899-12-30T07:28:00Z"/>
        <d v="1899-12-30T10:41:00Z"/>
        <d v="1899-12-30T01:44:00Z"/>
        <d v="1899-12-30T05:38:00Z"/>
        <d v="1899-12-30T07:31:00Z"/>
        <d v="1899-12-30T07:38:00Z"/>
        <d v="1899-12-30T01:25:00Z"/>
        <d v="1899-12-30T09:55:00Z"/>
        <d v="1899-12-30T07:10:00Z"/>
        <d v="1899-12-30T09:57:00Z"/>
        <d v="1899-12-30T06:16:00Z"/>
        <d v="1899-12-30T06:54:00Z"/>
        <d v="1899-12-30T08:15:00Z"/>
        <d v="1899-12-30T08:16:00Z"/>
        <d v="1899-12-30T06:15:00Z"/>
        <d v="1899-12-30T07:37:00Z"/>
        <d v="1899-12-30T06:46:00Z"/>
        <d v="1899-12-30T08:12:00Z"/>
        <d v="1899-12-30T06:19:00Z"/>
        <d v="1899-12-30T01:47:00Z"/>
        <d v="1899-12-30T07:04:00Z"/>
        <d v="1899-12-30T07:42:00Z"/>
        <d v="1899-12-30T06:57:00Z"/>
        <d v="1899-12-30T05:45:00Z"/>
        <d v="1899-12-30T06:31:00Z"/>
        <d v="1899-12-30T06:14:00Z"/>
        <d v="1899-12-30T01:48:00Z"/>
        <d v="1899-12-30T05:53:00Z"/>
        <d v="1899-12-30T09:02:00Z"/>
        <d v="1899-12-30T06:03:00Z"/>
        <d v="1899-12-30T08:33:00Z"/>
        <d v="1899-12-30T07:16:00Z"/>
        <d v="1899-12-30T08:53:00Z"/>
        <d v="1899-12-30T07:06:00Z"/>
        <d v="1899-12-30T02:17:00Z"/>
        <d v="1899-12-30T02:01:00Z"/>
        <d v="1899-12-30T02:59:00Z"/>
        <d v="1899-12-30T02:09:00Z"/>
        <d v="1899-12-30T02:14:00Z"/>
        <d v="1899-12-30T07:19:00Z"/>
        <d v="1899-12-30T06:55:00Z"/>
        <d v="1899-12-30T04:17:00Z"/>
        <d v="1899-12-30T10:12:00Z"/>
        <d v="1899-12-30T05:12:00Z"/>
        <d v="1899-12-30T08:07:00Z"/>
        <d v="1899-12-30T07:48:00Z"/>
        <d v="1899-12-30T07:14:00Z"/>
        <d v="1899-12-30T07:55:00Z"/>
        <d v="1899-12-30T07:09:00Z"/>
        <d v="1899-12-30T07:27:00Z"/>
        <d v="1899-12-30T06:13:00Z"/>
        <d v="1899-12-30T07:08:00Z"/>
        <d v="1899-12-30T07:11:00Z"/>
        <d v="1899-12-30T06:06:00Z"/>
        <d v="1899-12-30T07:44:00Z"/>
        <d v="1899-12-30T08:08:00Z"/>
        <d v="1899-12-30T06:58:00Z"/>
        <d v="1899-12-30T06:49:00Z"/>
        <d v="1899-12-30T11:26:00Z"/>
        <d v="1899-12-30T06:50:00Z"/>
        <d v="1899-12-30T11:18:00Z"/>
        <d v="1899-12-30T12:05:00Z"/>
        <d v="1899-12-30T10:40:00Z"/>
        <d v="1899-12-30T07:33:00Z"/>
        <d v="1899-12-30T14:03:00Z"/>
        <d v="1899-12-30T07:50:00Z"/>
        <d v="1899-12-30T10:08:00Z"/>
        <d v="1899-12-30T08:06:00Z"/>
        <d v="1899-12-30T07:18:00Z"/>
        <d v="1899-12-30T08:17:00Z"/>
        <d v="1899-12-30T06:53:00Z"/>
        <d v="1899-12-30T07:25:00Z"/>
        <d v="1899-12-30T09:43:00Z"/>
        <d v="1899-12-30T07:45:00Z"/>
        <d v="1899-12-30T07:17:00Z"/>
        <d v="1899-12-30T10:15:00Z"/>
        <d v="1899-12-30T07:13:00Z"/>
        <d v="1899-12-30T06:38:00Z"/>
        <d v="1899-12-30T10:34:00Z"/>
        <d v="1899-12-30T01:18:00Z"/>
        <d v="1899-12-30T09:22:00Z"/>
        <d v="1899-12-30T05:50:00Z"/>
        <d v="1899-12-30T08:22:00Z"/>
        <d v="1899-12-30T08:59:00Z"/>
        <d v="1899-12-30T06:56:00Z"/>
        <d v="1899-12-30T10:36:00Z"/>
        <d v="1899-12-30T09:35:00Z"/>
        <d v="1899-12-30T11:38:00Z"/>
        <d v="1899-12-30T08:27:00Z"/>
        <d v="1899-12-30T10:03:00Z"/>
        <d v="1899-12-30T04:20:00Z"/>
        <d v="1899-12-30T07:21:00Z"/>
        <d v="1899-12-30T06:27:00Z"/>
        <d v="1899-12-30T11:19:00Z"/>
        <d v="1899-12-30T08:55:00Z"/>
        <d v="1899-12-30T07:26:00Z"/>
        <d v="1899-12-30T07:15:00Z"/>
        <d v="1899-12-30T08:02:00Z"/>
        <d v="1899-12-30T07:35:00Z"/>
        <d v="1899-12-30T05:34:00Z"/>
        <d v="1899-12-30T09:29:00Z"/>
        <d v="1899-12-30T08:01:00Z"/>
        <d v="1899-12-30T01:22:00Z"/>
        <d v="1899-12-30T01:01:00Z"/>
        <d v="1899-12-30T08:45:00Z"/>
        <d v="1899-12-30T08:03:00Z"/>
        <d v="1899-12-30T06:51:00Z"/>
        <d v="1899-12-30T11:44:00Z"/>
        <d v="1899-12-30T07:59:00Z"/>
        <d v="1899-12-30T05:33:00Z"/>
        <d v="1899-12-30T07:43:00Z"/>
        <d v="1899-12-30T08:13:00Z"/>
        <d v="1899-12-30T05:37:00Z"/>
        <d v="1899-12-30T01:15:00Z"/>
        <d v="1899-12-30T05:56:00Z"/>
        <d v="1899-12-30T11:29:00Z"/>
        <d v="1899-12-30T07:01:00Z"/>
        <d v="1899-12-30T09:44:00Z"/>
        <d v="1899-12-30T10:00:00Z"/>
        <d v="1899-12-30T09:15:00Z"/>
        <d v="1899-12-30T06:25:00Z"/>
        <d v="1899-12-30T07:57:00Z"/>
        <d v="1899-12-30T05:55:00Z"/>
        <d v="1899-12-30T10:06:00Z"/>
        <d v="1899-12-30T06:39:00Z"/>
        <d v="1899-12-30T09:12:00Z"/>
        <d v="1899-12-30T08:23:00Z"/>
        <d v="1899-12-30T09:07:00Z"/>
        <d v="1899-12-30T06:00:00Z"/>
        <d v="1899-12-30T08:47:00Z"/>
      </sharedItems>
    </cacheField>
    <cacheField name="Efektywność snu" numFmtId="10">
      <sharedItems containsSemiMixedTypes="0" containsString="0" containsNumber="1">
        <n v="0.9450867052023122"/>
        <n v="0.9434889434889435"/>
        <n v="0.9321266968325792"/>
        <n v="0.9264305177111717"/>
        <n v="0.9831460674157303"/>
        <n v="0.95"/>
        <n v="0.9549071618037135"/>
        <n v="0.8928571428571429"/>
        <n v="0.9401041666666666"/>
        <n v="0.9576837416481069"/>
        <n v="0.8575851393188855"/>
        <n v="0.8941605839416058"/>
        <n v="0.9312977099236641"/>
        <n v="0.963276836158192"/>
        <n v="0.9505882352941176"/>
        <n v="0.9318181818181818"/>
        <n v="0.8964401294498382"/>
        <n v="0.9222972972972973"/>
        <n v="0.9356060606060606"/>
        <n v="0.9100817438692098"/>
        <n v="0.9484240687679083"/>
        <n v="0.972176759410802"/>
        <n v="0.9883040935672515"/>
        <n v="0.9503722084367245"/>
        <n v="0.9313725490196079"/>
        <n v="0.937007874015748"/>
        <n v="0.8732394366197183"/>
        <n v="0.8283038501560874"/>
        <n v="0.8896103896103896"/>
        <n v="0.6701352757544224"/>
        <n v="0.7513007284079084"/>
        <n v="0.6139438085327783"/>
        <n v="0.967741935483871"/>
        <n v="0.943127962085308"/>
        <n v="0.9519038076152304"/>
        <n v="0.9396825396825397"/>
        <n v="0.9325842696629213"/>
        <n v="0.9212454212454212"/>
        <n v="0.9398230088495575"/>
        <n v="0.9595070422535211"/>
        <n v="0.912739965095986"/>
        <n v="0.9241622574955908"/>
        <n v="0.8775100401606426"/>
        <n v="0.9222222222222223"/>
        <n v="0.903921568627451"/>
        <n v="0.9280155642023347"/>
        <n v="0.9541284403669725"/>
        <n v="0.9422382671480144"/>
        <n v="0.9390862944162437"/>
        <n v="0.9529190207156308"/>
        <n v="0.9321100917431193"/>
        <n v="0.9412844036697248"/>
        <n v="0.9607843137254902"/>
        <n v="0.943986820428336"/>
        <n v="0.9652014652014652"/>
        <n v="0.9410681399631676"/>
        <n v="0.9607142857142857"/>
        <n v="0.9649484536082474"/>
        <n v="0.9562043795620438"/>
        <n v="0.980806142034549"/>
        <n v="0.9524647887323944"/>
        <n v="0.9550359712230215"/>
        <n v="0.9394736842105263"/>
        <n v="0.945750452079566"/>
        <n v="0.9402061855670103"/>
        <n v="0.8840579710144928"/>
        <n v="0.879472693032015"/>
        <n v="0.9100204498977505"/>
        <n v="0.8968253968253969"/>
        <n v="0.9235880398671097"/>
        <n v="0.8976660682226212"/>
        <n v="0.9046692607003891"/>
        <n v="0.9504132231404959"/>
        <n v="0.8785249457700651"/>
        <n v="0.9689119170984456"/>
        <n v="0.9629629629629629"/>
        <n v="0.9193205944798302"/>
        <n v="0.889795918367347"/>
        <n v="0.8977955911823647"/>
        <n v="0.9066666666666666"/>
        <n v="0.86892177589852"/>
        <n v="0.5842217484008528"/>
        <n v="0.6469298245614035"/>
        <n v="0.7329974811083123"/>
        <n v="0.762589928057554"/>
        <n v="0.5549019607843138"/>
        <n v="0.6731448763250883"/>
        <n v="0.789272030651341"/>
        <n v="0.5544303797468354"/>
        <n v="0.49836065573770494"/>
        <n v="0.6484375"/>
        <n v="0.7457983193277311"/>
        <n v="0.6317204301075269"/>
        <n v="0.5893536121673004"/>
        <n v="0.5610278372591007"/>
        <n v="0.6738544474393531"/>
        <n v="0.6462962962962963"/>
        <n v="0.6170212765957447"/>
        <n v="0.696652719665272"/>
        <n v="0.6204188481675392"/>
        <n v="0.6118210862619808"/>
        <n v="0.5989583333333334"/>
        <n v="0.584"/>
        <n v="0.6339285714285714"/>
        <n v="0.6625"/>
        <n v="0.630859375"/>
        <n v="0.5349887133182845"/>
        <n v="0.5679824561403509"/>
        <n v="0.6902654867256637"/>
        <n v="0.9260628465804066"/>
        <n v="1.0"/>
        <n v="0.9698795180722891"/>
        <n v="0.8917910447761194"/>
        <n v="0.9112903225806451"/>
        <n v="0.9436274509803921"/>
        <n v="0.9054726368159204"/>
        <n v="0.8947368421052632"/>
        <n v="0.9605026929982047"/>
        <n v="0.9470468431771895"/>
        <n v="0.9693486590038314"/>
        <n v="0.9346642468239564"/>
        <n v="0.9257028112449799"/>
        <n v="0.9631675874769797"/>
        <n v="0.9076923076923077"/>
        <n v="0.9690909090909091"/>
        <n v="0.9584487534626038"/>
        <n v="0.9321357285429142"/>
        <n v="0.9644268774703557"/>
        <n v="0.9786821705426356"/>
        <n v="0.9315960912052117"/>
        <n v="0.9521072796934866"/>
        <n v="0.9578754578754579"/>
        <n v="0.9496124031007752"/>
        <n v="0.968"/>
        <n v="0.9446640316205533"/>
        <n v="0.92578125"/>
        <n v="0.9164969450101833"/>
        <n v="0.9566037735849057"/>
        <n v="0.9435736677115988"/>
        <n v="0.9469026548672567"/>
        <n v="0.941972920696325"/>
        <n v="0.9480286738351255"/>
        <n v="0.940809968847352"/>
        <n v="0.9486692015209125"/>
        <n v="0.9508928571428571"/>
        <n v="0.9656786271450858"/>
        <n v="0.9519230769230769"/>
        <n v="0.9733727810650887"/>
        <n v="0.9334811529933481"/>
        <n v="0.9650655021834061"/>
        <n v="0.9647058823529412"/>
        <n v="0.9540918163672655"/>
        <n v="0.9277310924369748"/>
        <n v="0.9219653179190751"/>
        <n v="0.878"/>
        <n v="0.9344978165938864"/>
        <n v="0.9511627906976744"/>
        <n v="0.916247906197655"/>
        <n v="0.9787234042553191"/>
        <n v="0.9420289855072463"/>
        <n v="0.9515151515151515"/>
        <n v="0.9516129032258065"/>
        <n v="0.977818853974122"/>
        <n v="0.9538461538461539"/>
        <n v="0.944"/>
        <n v="0.9493927125506073"/>
        <n v="0.9387308533916849"/>
        <n v="0.9113300492610837"/>
        <n v="0.8963414634146342"/>
        <n v="0.8891820580474934"/>
        <n v="0.9258517034068137"/>
        <n v="0.9158878504672897"/>
        <n v="0.9150943396226415"/>
        <n v="0.9502164502164502"/>
        <n v="0.929637526652452"/>
        <n v="0.9304556354916067"/>
        <n v="0.9507246376811594"/>
        <n v="0.9028132992327366"/>
        <n v="0.8877005347593583"/>
        <n v="0.9479638009049773"/>
        <n v="0.9814814814814815"/>
        <n v="0.9121813031161473"/>
        <n v="0.9564270152505446"/>
        <n v="0.9261992619926199"/>
        <n v="0.9266666666666666"/>
        <n v="0.928374655647383"/>
        <n v="0.9005847953216374"/>
        <n v="0.9303482587064676"/>
        <n v="0.9197247706422018"/>
        <n v="0.9232736572890026"/>
        <n v="0.8574108818011257"/>
        <n v="0.9507042253521126"/>
        <n v="0.9415094339622642"/>
        <n v="0.9640718562874252"/>
        <n v="0.9197080291970803"/>
        <n v="0.8512396694214877"/>
        <n v="0.9553072625698324"/>
        <n v="0.8914728682170543"/>
        <n v="0.917910447761194"/>
        <n v="0.9681093394077449"/>
        <n v="0.9302325581395349"/>
        <n v="0.9253012048192771"/>
        <n v="0.9844357976653697"/>
        <n v="0.9408866995073891"/>
        <n v="0.9656862745098039"/>
        <n v="0.9391025641025641"/>
        <n v="0.9383983572895277"/>
        <n v="0.9700854700854701"/>
        <n v="0.9792626728110599"/>
        <n v="0.9789473684210527"/>
        <n v="0.9486166007905138"/>
        <n v="0.9736842105263158"/>
        <n v="0.9813519813519813"/>
        <n v="0.9621380846325167"/>
        <n v="0.9587852494577006"/>
        <n v="0.9686800894854586"/>
        <n v="0.9560878243512974"/>
        <n v="0.8766756032171582"/>
        <n v="0.9493087557603687"/>
        <n v="0.9672897196261683"/>
        <n v="0.8997772828507795"/>
        <n v="0.9576427255985267"/>
        <n v="0.9497816593886463"/>
        <n v="0.9651972157772621"/>
        <n v="0.9672131147540983"/>
        <n v="0.9140271493212669"/>
        <n v="0.9504310344827587"/>
        <n v="0.9323770491803278"/>
        <n v="0.854066985645933"/>
        <n v="0.921760391198044"/>
        <n v="0.9489795918367347"/>
        <n v="0.8706467661691543"/>
        <n v="0.9611829944547134"/>
        <n v="0.8707317073170732"/>
        <n v="0.9705014749262537"/>
        <n v="0.925754060324826"/>
        <n v="0.8703448275862069"/>
        <n v="0.8640625"/>
        <n v="0.9252136752136753"/>
        <n v="0.9094922737306843"/>
        <n v="0.887468030690537"/>
        <n v="0.9212253829321663"/>
        <n v="0.9090909090909091"/>
        <n v="0.9193357058125742"/>
        <n v="0.9067055393586005"/>
        <n v="0.8683651804670913"/>
        <n v="0.8857808857808858"/>
        <n v="0.951063829787234"/>
        <n v="0.9030172413793104"/>
        <n v="0.9216589861751152"/>
        <n v="0.9404255319148936"/>
        <n v="0.9342105263157895"/>
        <n v="0.917004048582996"/>
        <n v="0.9435665914221218"/>
        <n v="0.9526748971193416"/>
        <n v="0.9221052631578948"/>
        <n v="0.95662100456621"/>
        <n v="0.9432314410480349"/>
        <n v="0.959758551307847"/>
        <n v="0.9491525423728814"/>
        <n v="0.9123595505617977"/>
        <n v="0.9416809605488851"/>
        <n v="0.9529837251356239"/>
        <n v="0.9655913978494624"/>
        <n v="0.93125"/>
        <n v="0.9473684210526315"/>
        <n v="0.9234972677595629"/>
        <n v="0.9552238805970149"/>
        <n v="0.8829268292682927"/>
        <n v="0.913232104121475"/>
        <n v="0.9389920424403183"/>
        <n v="0.9380530973451328"/>
        <n v="0.9704301075268817"/>
        <n v="0.9463917525773196"/>
        <n v="0.9515011547344111"/>
        <n v="0.9522613065326633"/>
        <n v="0.9493670886075949"/>
        <n v="0.9355432780847146"/>
        <n v="0.9511041009463722"/>
        <n v="0.9487179487179487"/>
        <n v="0.896797153024911"/>
        <n v="0.9054621848739496"/>
        <n v="0.9547738693467337"/>
        <n v="0.96"/>
        <n v="0.9666666666666667"/>
        <n v="0.9451219512195121"/>
        <n v="0.9442231075697212"/>
        <n v="0.9236363636363636"/>
        <n v="0.8791208791208791"/>
        <n v="0.9128014842300557"/>
        <n v="0.9618528610354223"/>
        <n v="0.9730700179533214"/>
        <n v="0.9447115384615384"/>
        <n v="0.9433962264150944"/>
        <n v="0.8817391304347826"/>
        <n v="0.944578313253012"/>
        <n v="0.9426934097421203"/>
        <n v="0.9822485207100592"/>
        <n v="0.9203980099502488"/>
        <n v="0.9425287356321839"/>
        <n v="0.9038461538461539"/>
        <n v="0.9591836734693877"/>
        <n v="0.9630541871921182"/>
        <n v="0.9457364341085271"/>
        <n v="0.9278350515463918"/>
        <n v="0.9495327102803738"/>
        <n v="0.9585492227979274"/>
        <n v="0.9754098360655737"/>
        <n v="0.9573991031390134"/>
        <n v="0.8897196261682243"/>
        <n v="0.9858490566037735"/>
        <n v="0.986870897155361"/>
        <n v="0.9770114942528736"/>
        <n v="0.967032967032967"/>
        <n v="0.9941634241245136"/>
        <n v="0.963855421686747"/>
        <n v="0.9887892376681614"/>
        <n v="0.974304068522484"/>
        <n v="0.9713024282560706"/>
        <n v="0.9952830188679245"/>
        <n v="0.9647887323943662"/>
        <n v="0.966804979253112"/>
        <n v="0.9425837320574163"/>
        <n v="0.9714285714285714"/>
        <n v="0.9511201629327902"/>
        <n v="0.9588744588744589"/>
        <n v="0.8922155688622755"/>
        <n v="0.9507908611599297"/>
        <n v="0.9839034205231388"/>
        <n v="0.975051975051975"/>
        <n v="0.9416666666666667"/>
        <n v="0.9644859813084112"/>
        <n v="0.9634146341463414"/>
        <n v="0.9508196721311475"/>
        <n v="0.979047619047619"/>
        <n v="0.9698924731182795"/>
        <n v="0.9915966386554622"/>
        <n v="0.9766839378238342"/>
        <n v="0.9772256728778468"/>
        <n v="0.9800796812749004"/>
        <n v="0.948905109489051"/>
        <n v="0.9553571428571429"/>
        <n v="0.9673295454545454"/>
        <n v="0.9977628635346756"/>
        <n v="0.97"/>
        <n v="0.9791231732776617"/>
        <n v="0.9645776566757494"/>
        <n v="0.9918200408997955"/>
        <n v="0.9533169533169533"/>
        <n v="0.9586056644880174"/>
        <n v="0.9891540130151844"/>
        <n v="0.963302752293578"/>
        <n v="0.9669669669669669"/>
        <n v="0.9671532846715328"/>
        <n v="0.9431372549019608"/>
        <n v="0.9748858447488584"/>
        <n v="0.9740820734341252"/>
        <n v="0.9715536105032823"/>
        <n v="0.9858012170385395"/>
        <n v="0.9821958456973294"/>
        <n v="0.9866666666666667"/>
        <n v="0.949438202247191"/>
        <n v="0.917864476386037"/>
        <n v="0.9318681318681319"/>
        <n v="0.9624765478424016"/>
        <n v="0.8867924528301887"/>
        <n v="0.8883248730964467"/>
        <n v="0.8824833702882483"/>
        <n v="0.9192399049881235"/>
        <n v="0.9315403422982885"/>
        <n v="0.9496402877697842"/>
        <n v="0.9402985074626866"/>
        <n v="0.9560067681895094"/>
        <n v="0.9308943089430894"/>
        <n v="0.9651741293532339"/>
        <n v="0.9417808219178082"/>
        <n v="0.885"/>
        <n v="0.9100719424460432"/>
        <n v="0.9377224199288257"/>
        <n v="0.8432432432432433"/>
        <n v="0.8812615955473099"/>
        <n v="0.9116883116883117"/>
        <n v="0.9440559440559441"/>
        <n v="0.9245283018867925"/>
        <n v="0.9136690647482014"/>
        <n v="0.9098591549295775"/>
        <n v="0.8993399339933993"/>
        <n v="0.899749373433584"/>
        <n v="0.8746803069053708"/>
        <n v="0.9509043927648578"/>
        <n v="0.9084249084249084"/>
        <n v="0.9290060851926978"/>
        <n v="0.9619565217391305"/>
        <n v="0.9662027833001988"/>
        <n v="0.9628647214854111"/>
        <n v="0.9652650822669104"/>
        <n v="0.9606879606879607"/>
        <n v="0.9883177570093458"/>
        <n v="0.9663461538461539"/>
        <n v="0.9802955665024631"/>
        <n v="0.9527777777777777"/>
        <n v="0.9544592030360531"/>
        <n v="0.9810874704491725"/>
        <n v="0.9467889908256881"/>
        <n v="0.9481641468682506"/>
      </sharedItems>
    </cacheField>
    <cacheField name="QualityOfSleep" numFmtId="0">
      <sharedItems>
        <s v="LOW"/>
        <s v="OK"/>
        <s v="HIGH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41" sheet="DailyActivity"/>
  </cacheSource>
  <cacheFields>
    <cacheField name="Id" numFmtId="0">
      <sharedItems containsSemiMixedTypes="0" containsString="0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  <n v="8.877689391E9"/>
      </sharedItems>
    </cacheField>
    <cacheField name="ActivityDate" numFmtId="164">
      <sharedItems containsSemiMixedTypes="0" containsDate="1" containsString="0"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4T00:00:00Z"/>
        <d v="2016-04-25T00:00:00Z"/>
        <d v="2016-04-26T00:00:00Z"/>
        <d v="2016-04-27T00:00:00Z"/>
        <d v="2016-04-28T00:00:00Z"/>
        <d v="2016-04-29T00:00:00Z"/>
        <d v="2016-04-30T00:00:00Z"/>
        <d v="2016-05-01T00:00:00Z"/>
        <d v="2016-05-02T00:00:00Z"/>
        <d v="2016-05-03T00:00:00Z"/>
        <d v="2016-05-04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</sharedItems>
    </cacheField>
    <cacheField name="TotalSteps" numFmtId="0">
      <sharedItems containsSemiMixedTypes="0" containsString="0" containsNumber="1" containsInteger="1">
        <n v="13162.0"/>
        <n v="10735.0"/>
        <n v="10460.0"/>
        <n v="9762.0"/>
        <n v="12669.0"/>
        <n v="9705.0"/>
        <n v="13019.0"/>
        <n v="15506.0"/>
        <n v="10544.0"/>
        <n v="9819.0"/>
        <n v="12764.0"/>
        <n v="14371.0"/>
        <n v="10039.0"/>
        <n v="15355.0"/>
        <n v="13755.0"/>
        <n v="18134.0"/>
        <n v="13154.0"/>
        <n v="11181.0"/>
        <n v="14673.0"/>
        <n v="10602.0"/>
        <n v="14727.0"/>
        <n v="15103.0"/>
        <n v="11100.0"/>
        <n v="14070.0"/>
        <n v="12159.0"/>
        <n v="11992.0"/>
        <n v="10060.0"/>
        <n v="12022.0"/>
        <n v="12207.0"/>
        <n v="12770.0"/>
        <n v="0.0"/>
        <n v="8163.0"/>
        <n v="7007.0"/>
        <n v="9107.0"/>
        <n v="1510.0"/>
        <n v="5370.0"/>
        <n v="6175.0"/>
        <n v="10536.0"/>
        <n v="2916.0"/>
        <n v="4974.0"/>
        <n v="6349.0"/>
        <n v="4026.0"/>
        <n v="8538.0"/>
        <n v="6076.0"/>
        <n v="6497.0"/>
        <n v="2826.0"/>
        <n v="8367.0"/>
        <n v="2759.0"/>
        <n v="2390.0"/>
        <n v="6474.0"/>
        <n v="36019.0"/>
        <n v="7155.0"/>
        <n v="2100.0"/>
        <n v="2193.0"/>
        <n v="2470.0"/>
        <n v="1727.0"/>
        <n v="2104.0"/>
        <n v="3427.0"/>
        <n v="1732.0"/>
        <n v="2969.0"/>
        <n v="3134.0"/>
        <n v="2971.0"/>
        <n v="10694.0"/>
        <n v="8001.0"/>
        <n v="11037.0"/>
        <n v="5263.0"/>
        <n v="15300.0"/>
        <n v="8757.0"/>
        <n v="7132.0"/>
        <n v="11256.0"/>
        <n v="2436.0"/>
        <n v="1223.0"/>
        <n v="3673.0"/>
        <n v="6637.0"/>
        <n v="3321.0"/>
        <n v="3580.0"/>
        <n v="9919.0"/>
        <n v="3032.0"/>
        <n v="9405.0"/>
        <n v="3176.0"/>
        <n v="18213.0"/>
        <n v="6132.0"/>
        <n v="3758.0"/>
        <n v="12850.0"/>
        <n v="2309.0"/>
        <n v="4363.0"/>
        <n v="9787.0"/>
        <n v="13372.0"/>
        <n v="6724.0"/>
        <n v="6643.0"/>
        <n v="9167.0"/>
        <n v="1329.0"/>
        <n v="6697.0"/>
        <n v="4929.0"/>
        <n v="7937.0"/>
        <n v="3844.0"/>
        <n v="3414.0"/>
        <n v="4525.0"/>
        <n v="4597.0"/>
        <n v="197.0"/>
        <n v="8.0"/>
        <n v="8054.0"/>
        <n v="5372.0"/>
        <n v="3570.0"/>
        <n v="4.0"/>
        <n v="6907.0"/>
        <n v="4920.0"/>
        <n v="4014.0"/>
        <n v="2573.0"/>
        <n v="4059.0"/>
        <n v="2080.0"/>
        <n v="2237.0"/>
        <n v="44.0"/>
        <n v="678.0"/>
        <n v="356.0"/>
        <n v="2163.0"/>
        <n v="980.0"/>
        <n v="244.0"/>
        <n v="149.0"/>
        <n v="2945.0"/>
        <n v="2090.0"/>
        <n v="152.0"/>
        <n v="3761.0"/>
        <n v="1675.0"/>
        <n v="2704.0"/>
        <n v="3790.0"/>
        <n v="1326.0"/>
        <n v="1786.0"/>
        <n v="2091.0"/>
        <n v="11875.0"/>
        <n v="12024.0"/>
        <n v="10690.0"/>
        <n v="11034.0"/>
        <n v="10100.0"/>
        <n v="15112.0"/>
        <n v="14131.0"/>
        <n v="11548.0"/>
        <n v="12453.0"/>
        <n v="12954.0"/>
        <n v="6001.0"/>
        <n v="13481.0"/>
        <n v="11369.0"/>
        <n v="10119.0"/>
        <n v="10159.0"/>
        <n v="10140.0"/>
        <n v="10245.0"/>
        <n v="18387.0"/>
        <n v="10538.0"/>
        <n v="10379.0"/>
        <n v="12183.0"/>
        <n v="11768.0"/>
        <n v="11895.0"/>
        <n v="10227.0"/>
        <n v="6708.0"/>
        <n v="3292.0"/>
        <n v="13379.0"/>
        <n v="12798.0"/>
        <n v="13272.0"/>
        <n v="9117.0"/>
        <n v="4414.0"/>
        <n v="4993.0"/>
        <n v="3335.0"/>
        <n v="3821.0"/>
        <n v="2547.0"/>
        <n v="838.0"/>
        <n v="3325.0"/>
        <n v="2424.0"/>
        <n v="7222.0"/>
        <n v="2467.0"/>
        <n v="2915.0"/>
        <n v="12357.0"/>
        <n v="3490.0"/>
        <n v="6017.0"/>
        <n v="5933.0"/>
        <n v="6088.0"/>
        <n v="6375.0"/>
        <n v="7604.0"/>
        <n v="4729.0"/>
        <n v="3609.0"/>
        <n v="7018.0"/>
        <n v="5992.0"/>
        <n v="6564.0"/>
        <n v="12167.0"/>
        <n v="8198.0"/>
        <n v="4193.0"/>
        <n v="5528.0"/>
        <n v="10685.0"/>
        <n v="254.0"/>
        <n v="8580.0"/>
        <n v="8891.0"/>
        <n v="10725.0"/>
        <n v="7275.0"/>
        <n v="3973.0"/>
        <n v="5205.0"/>
        <n v="5057.0"/>
        <n v="6198.0"/>
        <n v="6559.0"/>
        <n v="5997.0"/>
        <n v="7192.0"/>
        <n v="3404.0"/>
        <n v="5583.0"/>
        <n v="5079.0"/>
        <n v="4165.0"/>
        <n v="3588.0"/>
        <n v="3409.0"/>
        <n v="1715.0"/>
        <n v="1532.0"/>
        <n v="924.0"/>
        <n v="4571.0"/>
        <n v="772.0"/>
        <n v="3634.0"/>
        <n v="7443.0"/>
        <n v="1201.0"/>
        <n v="5202.0"/>
        <n v="4878.0"/>
        <n v="7379.0"/>
        <n v="5161.0"/>
        <n v="3090.0"/>
        <n v="6227.0"/>
        <n v="6424.0"/>
        <n v="2661.0"/>
        <n v="10113.0"/>
        <n v="10352.0"/>
        <n v="10129.0"/>
        <n v="10465.0"/>
        <n v="22244.0"/>
        <n v="5472.0"/>
        <n v="8247.0"/>
        <n v="6711.0"/>
        <n v="10999.0"/>
        <n v="10080.0"/>
        <n v="7804.0"/>
        <n v="16901.0"/>
        <n v="9471.0"/>
        <n v="9482.0"/>
        <n v="5980.0"/>
        <n v="11423.0"/>
        <n v="5439.0"/>
        <n v="42.0"/>
        <n v="8796.0"/>
        <n v="7618.0"/>
        <n v="7910.0"/>
        <n v="8482.0"/>
        <n v="9685.0"/>
        <n v="2524.0"/>
        <n v="7762.0"/>
        <n v="7948.0"/>
        <n v="9202.0"/>
        <n v="8859.0"/>
        <n v="7286.0"/>
        <n v="9317.0"/>
        <n v="6873.0"/>
        <n v="7373.0"/>
        <n v="8242.0"/>
        <n v="3516.0"/>
        <n v="7913.0"/>
        <n v="7365.0"/>
        <n v="8452.0"/>
        <n v="7399.0"/>
        <n v="7525.0"/>
        <n v="7412.0"/>
        <n v="8278.0"/>
        <n v="8314.0"/>
        <n v="7063.0"/>
        <n v="4940.0"/>
        <n v="8168.0"/>
        <n v="7726.0"/>
        <n v="8275.0"/>
        <n v="6440.0"/>
        <n v="7566.0"/>
        <n v="4747.0"/>
        <n v="9715.0"/>
        <n v="8844.0"/>
        <n v="7451.0"/>
        <n v="6905.0"/>
        <n v="8199.0"/>
        <n v="6798.0"/>
        <n v="7711.0"/>
        <n v="4880.0"/>
        <n v="8857.0"/>
        <n v="3843.0"/>
        <n v="7396.0"/>
        <n v="6731.0"/>
        <n v="5995.0"/>
        <n v="8283.0"/>
        <n v="7904.0"/>
        <n v="5512.0"/>
        <n v="9135.0"/>
        <n v="5250.0"/>
        <n v="3077.0"/>
        <n v="8856.0"/>
        <n v="10035.0"/>
        <n v="7641.0"/>
        <n v="9010.0"/>
        <n v="13459.0"/>
        <n v="10415.0"/>
        <n v="11663.0"/>
        <n v="12414.0"/>
        <n v="11658.0"/>
        <n v="6093.0"/>
        <n v="8911.0"/>
        <n v="12058.0"/>
        <n v="14112.0"/>
        <n v="11177.0"/>
        <n v="11388.0"/>
        <n v="7193.0"/>
        <n v="7114.0"/>
        <n v="10645.0"/>
        <n v="13238.0"/>
        <n v="10414.0"/>
        <n v="16520.0"/>
        <n v="14335.0"/>
        <n v="13559.0"/>
        <n v="12312.0"/>
        <n v="11677.0"/>
        <n v="11550.0"/>
        <n v="13585.0"/>
        <n v="14687.0"/>
        <n v="13072.0"/>
        <n v="746.0"/>
        <n v="8539.0"/>
        <n v="108.0"/>
        <n v="1882.0"/>
        <n v="1982.0"/>
        <n v="16.0"/>
        <n v="62.0"/>
        <n v="475.0"/>
        <n v="4496.0"/>
        <n v="10252.0"/>
        <n v="11728.0"/>
        <n v="4369.0"/>
        <n v="5862.0"/>
        <n v="4556.0"/>
        <n v="5546.0"/>
        <n v="3689.0"/>
        <n v="590.0"/>
        <n v="5394.0"/>
        <n v="5974.0"/>
        <n v="3984.0"/>
        <n v="7753.0"/>
        <n v="8204.0"/>
        <n v="10210.0"/>
        <n v="5664.0"/>
        <n v="4744.0"/>
        <n v="29.0"/>
        <n v="2276.0"/>
        <n v="8925.0"/>
        <n v="8954.0"/>
        <n v="3702.0"/>
        <n v="4500.0"/>
        <n v="4935.0"/>
        <n v="4081.0"/>
        <n v="9259.0"/>
        <n v="9899.0"/>
        <n v="10780.0"/>
        <n v="10817.0"/>
        <n v="7990.0"/>
        <n v="8221.0"/>
        <n v="1251.0"/>
        <n v="9261.0"/>
        <n v="9648.0"/>
        <n v="10429.0"/>
        <n v="13658.0"/>
        <n v="9524.0"/>
        <n v="3672.0"/>
        <n v="10378.0"/>
        <n v="9487.0"/>
        <n v="9129.0"/>
        <n v="17.0"/>
        <n v="10122.0"/>
        <n v="10993.0"/>
        <n v="8863.0"/>
        <n v="8758.0"/>
        <n v="6580.0"/>
        <n v="4660.0"/>
        <n v="11009.0"/>
        <n v="10181.0"/>
        <n v="10553.0"/>
        <n v="10055.0"/>
        <n v="12139.0"/>
        <n v="13236.0"/>
        <n v="10243.0"/>
        <n v="12961.0"/>
        <n v="9461.0"/>
        <n v="11193.0"/>
        <n v="10074.0"/>
        <n v="9232.0"/>
        <n v="12533.0"/>
        <n v="10255.0"/>
        <n v="10096.0"/>
        <n v="12727.0"/>
        <n v="12375.0"/>
        <n v="9603.0"/>
        <n v="13175.0"/>
        <n v="22770.0"/>
        <n v="17298.0"/>
        <n v="10218.0"/>
        <n v="10299.0"/>
        <n v="10201.0"/>
        <n v="3369.0"/>
        <n v="3276.0"/>
        <n v="2961.0"/>
        <n v="3974.0"/>
        <n v="7198.0"/>
        <n v="3945.0"/>
        <n v="2268.0"/>
        <n v="6155.0"/>
        <n v="2064.0"/>
        <n v="2072.0"/>
        <n v="3809.0"/>
        <n v="6831.0"/>
        <n v="5002.0"/>
        <n v="3385.0"/>
        <n v="6326.0"/>
        <n v="7243.0"/>
        <n v="4493.0"/>
        <n v="4676.0"/>
        <n v="6222.0"/>
        <n v="5232.0"/>
        <n v="6910.0"/>
        <n v="7502.0"/>
        <n v="2923.0"/>
        <n v="3800.0"/>
        <n v="4514.0"/>
        <n v="5183.0"/>
        <n v="7303.0"/>
        <n v="5275.0"/>
        <n v="3915.0"/>
        <n v="9105.0"/>
        <n v="768.0"/>
        <n v="5135.0"/>
        <n v="4978.0"/>
        <n v="6799.0"/>
        <n v="7795.0"/>
        <n v="7289.0"/>
        <n v="9634.0"/>
        <n v="8940.0"/>
        <n v="5401.0"/>
        <n v="4803.0"/>
        <n v="13743.0"/>
        <n v="9601.0"/>
        <n v="6890.0"/>
        <n v="8563.0"/>
        <n v="8095.0"/>
        <n v="9148.0"/>
        <n v="9557.0"/>
        <n v="9451.0"/>
        <n v="7833.0"/>
        <n v="10319.0"/>
        <n v="3428.0"/>
        <n v="7891.0"/>
        <n v="5267.0"/>
        <n v="10611.0"/>
        <n v="3755.0"/>
        <n v="8237.0"/>
        <n v="6543.0"/>
        <n v="11451.0"/>
        <n v="6435.0"/>
        <n v="9108.0"/>
        <n v="6307.0"/>
        <n v="7213.0"/>
        <n v="6877.0"/>
        <n v="7860.0"/>
        <n v="6506.0"/>
        <n v="11140.0"/>
        <n v="12692.0"/>
        <n v="8793.0"/>
        <n v="6530.0"/>
        <n v="1664.0"/>
        <n v="15126.0"/>
        <n v="15050.0"/>
        <n v="6108.0"/>
        <n v="7047.0"/>
        <n v="9023.0"/>
        <n v="9930.0"/>
        <n v="10144.0"/>
        <n v="7245.0"/>
        <n v="9454.0"/>
        <n v="8161.0"/>
        <n v="8614.0"/>
        <n v="6943.0"/>
        <n v="14370.0"/>
        <n v="12857.0"/>
        <n v="8232.0"/>
        <n v="10613.0"/>
        <n v="9810.0"/>
        <n v="2752.0"/>
        <n v="11596.0"/>
        <n v="4832.0"/>
        <n v="17022.0"/>
        <n v="16556.0"/>
        <n v="5771.0"/>
        <n v="655.0"/>
        <n v="3727.0"/>
        <n v="15482.0"/>
        <n v="2713.0"/>
        <n v="12346.0"/>
        <n v="11682.0"/>
        <n v="4112.0"/>
        <n v="1807.0"/>
        <n v="10946.0"/>
        <n v="11886.0"/>
        <n v="11393.0"/>
        <n v="1202.0"/>
        <n v="5164.0"/>
        <n v="9769.0"/>
        <n v="12848.0"/>
        <n v="4249.0"/>
        <n v="14331.0"/>
        <n v="9632.0"/>
        <n v="1868.0"/>
        <n v="6083.0"/>
        <n v="11611.0"/>
        <n v="16358.0"/>
        <n v="4926.0"/>
        <n v="3121.0"/>
        <n v="8135.0"/>
        <n v="5077.0"/>
        <n v="8596.0"/>
        <n v="12087.0"/>
        <n v="14269.0"/>
        <n v="12231.0"/>
        <n v="9893.0"/>
        <n v="12574.0"/>
        <n v="8330.0"/>
        <n v="10830.0"/>
        <n v="9172.0"/>
        <n v="7638.0"/>
        <n v="15764.0"/>
        <n v="6393.0"/>
        <n v="5325.0"/>
        <n v="6805.0"/>
        <n v="9841.0"/>
        <n v="7924.0"/>
        <n v="12363.0"/>
        <n v="13368.0"/>
        <n v="7439.0"/>
        <n v="11045.0"/>
        <n v="5206.0"/>
        <n v="7550.0"/>
        <n v="4950.0"/>
        <n v="3421.0"/>
        <n v="8869.0"/>
        <n v="4038.0"/>
        <n v="14019.0"/>
        <n v="14450.0"/>
        <n v="7150.0"/>
        <n v="5153.0"/>
        <n v="11135.0"/>
        <n v="10449.0"/>
        <n v="19542.0"/>
        <n v="8206.0"/>
        <n v="11495.0"/>
        <n v="7623.0"/>
        <n v="9543.0"/>
        <n v="9411.0"/>
        <n v="3403.0"/>
        <n v="9592.0"/>
        <n v="6987.0"/>
        <n v="8915.0"/>
        <n v="4933.0"/>
        <n v="2997.0"/>
        <n v="9799.0"/>
        <n v="3365.0"/>
        <n v="7336.0"/>
        <n v="7328.0"/>
        <n v="4477.0"/>
        <n v="4562.0"/>
        <n v="7142.0"/>
        <n v="7671.0"/>
        <n v="9501.0"/>
        <n v="8301.0"/>
        <n v="7851.0"/>
        <n v="6885.0"/>
        <n v="6361.0"/>
        <n v="6238.0"/>
        <n v="5896.0"/>
        <n v="7802.0"/>
        <n v="5565.0"/>
        <n v="5731.0"/>
        <n v="6744.0"/>
        <n v="9837.0"/>
        <n v="6781.0"/>
        <n v="6047.0"/>
        <n v="5832.0"/>
        <n v="6339.0"/>
        <n v="6116.0"/>
        <n v="5510.0"/>
        <n v="7706.0"/>
        <n v="6277.0"/>
        <n v="4053.0"/>
        <n v="5162.0"/>
        <n v="1282.0"/>
        <n v="4732.0"/>
        <n v="2497.0"/>
        <n v="8294.0"/>
        <n v="10771.0"/>
        <n v="637.0"/>
        <n v="2153.0"/>
        <n v="7091.0"/>
        <n v="703.0"/>
        <n v="2503.0"/>
        <n v="2487.0"/>
        <n v="9.0"/>
        <n v="4697.0"/>
        <n v="1967.0"/>
        <n v="10199.0"/>
        <n v="5652.0"/>
        <n v="1551.0"/>
        <n v="5563.0"/>
        <n v="13217.0"/>
        <n v="10145.0"/>
        <n v="11404.0"/>
        <n v="10742.0"/>
        <n v="13928.0"/>
        <n v="11835.0"/>
        <n v="20031.0"/>
        <n v="5029.0"/>
        <n v="13239.0"/>
        <n v="10433.0"/>
        <n v="10320.0"/>
        <n v="12627.0"/>
        <n v="10762.0"/>
        <n v="10081.0"/>
        <n v="5454.0"/>
        <n v="12912.0"/>
        <n v="12109.0"/>
        <n v="10147.0"/>
        <n v="10524.0"/>
        <n v="5908.0"/>
        <n v="6815.0"/>
        <n v="4188.0"/>
        <n v="12342.0"/>
        <n v="15448.0"/>
        <n v="6722.0"/>
        <n v="3587.0"/>
        <n v="14172.0"/>
        <n v="12862.0"/>
        <n v="11179.0"/>
        <n v="5273.0"/>
        <n v="4631.0"/>
        <n v="8059.0"/>
        <n v="14816.0"/>
        <n v="14194.0"/>
        <n v="15566.0"/>
        <n v="13744.0"/>
        <n v="15299.0"/>
        <n v="8093.0"/>
        <n v="11085.0"/>
        <n v="18229.0"/>
        <n v="15090.0"/>
        <n v="13541.0"/>
        <n v="15128.0"/>
        <n v="20067.0"/>
        <n v="5600.0"/>
        <n v="13041.0"/>
        <n v="14510.0"/>
        <n v="15010.0"/>
        <n v="11459.0"/>
        <n v="11317.0"/>
        <n v="5813.0"/>
        <n v="9123.0"/>
        <n v="8585.0"/>
        <n v="31.0"/>
        <n v="9827.0"/>
        <n v="10688.0"/>
        <n v="14365.0"/>
        <n v="9469.0"/>
        <n v="9753.0"/>
        <n v="2817.0"/>
        <n v="3520.0"/>
        <n v="10091.0"/>
        <n v="10387.0"/>
        <n v="11107.0"/>
        <n v="11584.0"/>
        <n v="7881.0"/>
        <n v="14560.0"/>
        <n v="12390.0"/>
        <n v="10052.0"/>
        <n v="10288.0"/>
        <n v="10988.0"/>
        <n v="8564.0"/>
        <n v="12461.0"/>
        <n v="12827.0"/>
        <n v="10677.0"/>
        <n v="13566.0"/>
        <n v="14433.0"/>
        <n v="9572.0"/>
        <n v="3789.0"/>
        <n v="18060.0"/>
        <n v="16433.0"/>
        <n v="20159.0"/>
        <n v="20669.0"/>
        <n v="14549.0"/>
        <n v="18827.0"/>
        <n v="17076.0"/>
        <n v="15929.0"/>
        <n v="15108.0"/>
        <n v="16057.0"/>
        <n v="10520.0"/>
        <n v="22359.0"/>
        <n v="22988.0"/>
        <n v="20500.0"/>
        <n v="12685.0"/>
        <n v="12422.0"/>
        <n v="15447.0"/>
        <n v="12315.0"/>
        <n v="7135.0"/>
        <n v="1170.0"/>
        <n v="1969.0"/>
        <n v="15484.0"/>
        <n v="14581.0"/>
        <n v="14990.0"/>
        <n v="13953.0"/>
        <n v="19769.0"/>
        <n v="22026.0"/>
        <n v="12465.0"/>
        <n v="14810.0"/>
        <n v="12209.0"/>
        <n v="4998.0"/>
        <n v="9033.0"/>
        <n v="8053.0"/>
        <n v="5234.0"/>
        <n v="2672.0"/>
        <n v="9256.0"/>
        <n v="10204.0"/>
        <n v="5151.0"/>
        <n v="4212.0"/>
        <n v="6466.0"/>
        <n v="11268.0"/>
        <n v="2824.0"/>
        <n v="9282.0"/>
        <n v="8905.0"/>
        <n v="6829.0"/>
        <n v="10232.0"/>
        <n v="2718.0"/>
        <n v="6260.0"/>
        <n v="7626.0"/>
        <n v="12386.0"/>
        <n v="13318.0"/>
        <n v="14461.0"/>
        <n v="11207.0"/>
        <n v="2132.0"/>
        <n v="13630.0"/>
        <n v="13070.0"/>
        <n v="9388.0"/>
        <n v="15148.0"/>
        <n v="12200.0"/>
        <n v="5709.0"/>
        <n v="3703.0"/>
        <n v="12405.0"/>
        <n v="16208.0"/>
        <n v="7359.0"/>
        <n v="5417.0"/>
        <n v="2946.0"/>
        <n v="11419.0"/>
        <n v="6064.0"/>
        <n v="8712.0"/>
        <n v="7875.0"/>
        <n v="8567.0"/>
        <n v="7045.0"/>
        <n v="4468.0"/>
        <n v="2943.0"/>
        <n v="8382.0"/>
        <n v="6582.0"/>
        <n v="9143.0"/>
        <n v="4561.0"/>
        <n v="5014.0"/>
        <n v="5571.0"/>
        <n v="3135.0"/>
        <n v="3430.0"/>
        <n v="5319.0"/>
        <n v="3008.0"/>
        <n v="3864.0"/>
        <n v="5697.0"/>
        <n v="8687.0"/>
        <n v="9423.0"/>
        <n v="8286.0"/>
        <n v="4503.0"/>
        <n v="10499.0"/>
        <n v="12474.0"/>
        <n v="6174.0"/>
        <n v="15168.0"/>
        <n v="10085.0"/>
        <n v="4512.0"/>
        <n v="8469.0"/>
        <n v="12015.0"/>
        <n v="12427.0"/>
        <n v="5843.0"/>
        <n v="6117.0"/>
        <n v="9217.0"/>
        <n v="9877.0"/>
        <n v="8240.0"/>
        <n v="8701.0"/>
        <n v="2564.0"/>
        <n v="1320.0"/>
        <n v="1219.0"/>
        <n v="2483.0"/>
        <n v="3147.0"/>
        <n v="144.0"/>
        <n v="4068.0"/>
        <n v="5245.0"/>
        <n v="400.0"/>
        <n v="1321.0"/>
        <n v="1758.0"/>
        <n v="6157.0"/>
        <n v="8360.0"/>
        <n v="7174.0"/>
        <n v="1619.0"/>
        <n v="1831.0"/>
        <n v="2421.0"/>
        <n v="2283.0"/>
        <n v="23186.0"/>
        <n v="15337.0"/>
        <n v="21129.0"/>
        <n v="13422.0"/>
        <n v="29326.0"/>
        <n v="15118.0"/>
        <n v="18785.0"/>
        <n v="19948.0"/>
        <n v="19377.0"/>
        <n v="18258.0"/>
        <n v="11200.0"/>
        <n v="16674.0"/>
        <n v="12986.0"/>
        <n v="11101.0"/>
        <n v="23629.0"/>
        <n v="14890.0"/>
        <n v="9733.0"/>
        <n v="27745.0"/>
        <n v="10930.0"/>
        <n v="4790.0"/>
        <n v="10818.0"/>
        <n v="18193.0"/>
        <n v="14055.0"/>
        <n v="21727.0"/>
        <n v="12332.0"/>
        <n v="10686.0"/>
        <n v="20226.0"/>
        <n v="10733.0"/>
        <n v="21420.0"/>
        <n v="8064.0"/>
      </sharedItems>
    </cacheField>
    <cacheField name="TotalDistance" numFmtId="0">
      <sharedItems containsSemiMixedTypes="0" containsString="0" containsNumber="1">
        <n v="8.5"/>
        <n v="6.96999979019165"/>
        <n v="6.73999977111816"/>
        <n v="6.28000020980835"/>
        <n v="8.15999984741211"/>
        <n v="6.48000001907349"/>
        <n v="8.59000015258789"/>
        <n v="9.88000011444092"/>
        <n v="6.67999982833862"/>
        <n v="6.34000015258789"/>
        <n v="8.13000011444092"/>
        <n v="9.03999996185303"/>
        <n v="6.40999984741211"/>
        <n v="9.80000019073486"/>
        <n v="8.78999996185303"/>
        <n v="12.210000038147"/>
        <n v="8.52999973297119"/>
        <n v="7.15000009536743"/>
        <n v="9.25"/>
        <n v="6.80999994277954"/>
        <n v="9.71000003814697"/>
        <n v="9.65999984741211"/>
        <n v="8.89999961853027"/>
        <n v="8.02999973297119"/>
        <n v="7.71000003814697"/>
        <n v="6.57999992370605"/>
        <n v="7.71999979019165"/>
        <n v="7.76999998092651"/>
        <n v="0.0"/>
        <n v="5.30999994277954"/>
        <n v="4.55000019073486"/>
        <n v="5.92000007629395"/>
        <n v="0.980000019073486"/>
        <n v="3.49000000953674"/>
        <n v="4.05999994277954"/>
        <n v="7.40999984741211"/>
        <n v="1.89999997615814"/>
        <n v="3.23000001907349"/>
        <n v="4.13000011444092"/>
        <n v="2.61999988555908"/>
        <n v="5.55000019073486"/>
        <n v="3.95000004768372"/>
        <n v="4.21999979019165"/>
        <n v="1.8400000333786"/>
        <n v="5.44000005722046"/>
        <n v="1.78999996185303"/>
        <n v="1.54999995231628"/>
        <n v="4.30000019073486"/>
        <n v="28.0300006866455"/>
        <n v="4.92999982833862"/>
        <n v="1.37000000476837"/>
        <n v="1.42999994754791"/>
        <n v="1.61000001430511"/>
        <n v="1.12000000476837"/>
        <n v="2.23000001907349"/>
        <n v="1.12999999523163"/>
        <n v="1.92999994754791"/>
        <n v="2.03999996185303"/>
        <n v="5.82000017166138"/>
        <n v="8.02000045776367"/>
        <n v="3.82999992370605"/>
        <n v="11.1199998855591"/>
        <n v="6.36999988555908"/>
        <n v="5.19000005722046"/>
        <n v="8.18000030517578"/>
        <n v="1.76999998092651"/>
        <n v="0.889999985694885"/>
        <n v="2.67000007629395"/>
        <n v="4.82999992370605"/>
        <n v="2.41000008583069"/>
        <n v="2.59999990463257"/>
        <n v="7.21000003814697"/>
        <n v="2.20000004768372"/>
        <n v="6.84000015258789"/>
        <n v="2.30999994277954"/>
        <n v="13.2399997711182"/>
        <n v="4.46000003814697"/>
        <n v="2.73000001907349"/>
        <n v="9.34000015258789"/>
        <n v="1.67999994754791"/>
        <n v="3.19000005722046"/>
        <n v="7.11999988555908"/>
        <n v="9.72000026702881"/>
        <n v="4.8899998664856"/>
        <n v="6.65999984741211"/>
        <n v="0.970000028610229"/>
        <n v="4.42999982833862"/>
        <n v="3.25999999046326"/>
        <n v="5.25"/>
        <n v="2.53999996185303"/>
        <n v="2.25999999046326"/>
        <n v="2.99000000953674"/>
        <n v="3.03999996185303"/>
        <n v="0.129999995231628"/>
        <n v="0.00999999977648258"/>
        <n v="5.32000017166138"/>
        <n v="3.54999995231628"/>
        <n v="2.35999989509583"/>
        <n v="4.57000017166138"/>
        <n v="3.25"/>
        <n v="1.70000004768372"/>
        <n v="2.6800000667572"/>
        <n v="1.48000001907349"/>
        <n v="0.0299999993294477"/>
        <n v="0.469999998807907"/>
        <n v="0.25"/>
        <n v="1.5"/>
        <n v="0.680000007152557"/>
        <n v="0.170000001788139"/>
        <n v="0.100000001490116"/>
        <n v="1.45000004768372"/>
        <n v="0.109999999403954"/>
        <n v="1.1599999666214"/>
        <n v="1.87000000476837"/>
        <n v="0.920000016689301"/>
        <n v="1.24000000953674"/>
        <n v="1.03999996185303"/>
        <n v="8.34000015258789"/>
        <n v="7.5"/>
        <n v="7.09000015258789"/>
        <n v="11.3999996185303"/>
        <n v="10.0699996948242"/>
        <n v="10.6700000762939"/>
        <n v="8.73999977111816"/>
        <n v="9.32999992370605"/>
        <n v="4.21000003814697"/>
        <n v="10.2799997329712"/>
        <n v="8.01000022888184"/>
        <n v="7.19000005722046"/>
        <n v="7.13000011444092"/>
        <n v="12.9099998474121"/>
        <n v="7.40000009536743"/>
        <n v="7.28999996185303"/>
        <n v="8.28999996185303"/>
        <n v="8.35000038146973"/>
        <n v="7.17999982833862"/>
        <n v="4.71000003814697"/>
        <n v="9.39000034332275"/>
        <n v="8.97999954223633"/>
        <n v="9.31999969482422"/>
        <n v="2.74000000953674"/>
        <n v="3.09999990463257"/>
        <n v="2.0699999332428"/>
        <n v="2.36999988555908"/>
        <n v="1.58000004291534"/>
        <n v="0.519999980926514"/>
        <n v="2.05999994277954"/>
        <n v="4.48000001907349"/>
        <n v="1.52999997138977"/>
        <n v="1.80999994277954"/>
        <n v="2.16000008583069"/>
        <n v="3.73000001907349"/>
        <n v="3.6800000667572"/>
        <n v="3.76999998092651"/>
        <n v="2.9300000667572"/>
        <n v="2.27999997138977"/>
        <n v="4.34999990463257"/>
        <n v="3.72000002861023"/>
        <n v="4.07000017166138"/>
        <n v="7.53999996185303"/>
        <n v="5.07999992370605"/>
        <n v="3.45000004768372"/>
        <n v="6.61999988555908"/>
        <n v="0.159999996423721"/>
        <n v="5.51000022888184"/>
        <n v="7.48999977111816"/>
        <n v="4.90000009536743"/>
        <n v="3.50999999046326"/>
        <n v="3.41000008583069"/>
        <n v="4.17999982833862"/>
        <n v="4.42000007629395"/>
        <n v="4.03999996185303"/>
        <n v="4.84999990463257"/>
        <n v="2.28999996185303"/>
        <n v="3.75999999046326"/>
        <n v="3.42000007629395"/>
        <n v="2.80999994277954"/>
        <n v="2.42000007629395"/>
        <n v="2.29999995231628"/>
        <n v="1.02999997138977"/>
        <n v="0.620000004768372"/>
        <n v="3.07999992370605"/>
        <n v="2.45000004768372"/>
        <n v="5.01999998092651"/>
        <n v="0.810000002384186"/>
        <n v="3.28999996185303"/>
        <n v="4.96999979019165"/>
        <n v="3.48000001907349"/>
        <n v="2.07999992370605"/>
        <n v="4.19999980926514"/>
        <n v="4.32999992370605"/>
        <n v="6.82999992370605"/>
        <n v="7.01000022888184"/>
        <n v="6.69999980926514"/>
        <n v="6.92000007629395"/>
        <n v="15.0799999237061"/>
        <n v="3.61999988555908"/>
        <n v="5.44999980926514"/>
        <n v="4.44000005722046"/>
        <n v="7.26999998092651"/>
        <n v="6.75"/>
        <n v="5.15999984741211"/>
        <n v="11.3699998855591"/>
        <n v="6.26000022888184"/>
        <n v="6.38000011444092"/>
        <n v="7.57999992370605"/>
        <n v="3.59999990463257"/>
        <n v="5.90999984741211"/>
        <n v="5.11999988555908"/>
        <n v="5.69999980926514"/>
        <n v="6.65000009536743"/>
        <n v="5.23999977111816"/>
        <n v="5.36999988555908"/>
        <n v="6.30000019073486"/>
        <n v="5.98000001907349"/>
        <n v="6.34999990463257"/>
        <n v="4.67999982833862"/>
        <n v="4.94999980926514"/>
        <n v="5.53999996185303"/>
        <n v="5.40999984741211"/>
        <n v="5.67999982833862"/>
        <n v="5.05999994277954"/>
        <n v="4.98000001907349"/>
        <n v="5.55999994277954"/>
        <n v="5.6100001335144"/>
        <n v="4.75"/>
        <n v="3.38000011444092"/>
        <n v="5.1100001335144"/>
        <n v="3.24000000953674"/>
        <n v="6.63000011444092"/>
        <n v="6.03000020980835"/>
        <n v="4.73000001907349"/>
        <n v="5.88000011444092"/>
        <n v="4.6399998664856"/>
        <n v="5.26000022888184"/>
        <n v="3.32999992370605"/>
        <n v="6.07000017166138"/>
        <n v="5.07000017166138"/>
        <n v="4.59000015258789"/>
        <n v="4.09000015258789"/>
        <n v="5.78999996185303"/>
        <n v="5.42000007629395"/>
        <n v="6.23000001907349"/>
        <n v="3.57999992370605"/>
        <n v="2.09999990463257"/>
        <n v="6.71000003814697"/>
        <n v="6.05999994277954"/>
        <n v="9.0"/>
        <n v="7.80000019073486"/>
        <n v="8.77999973297119"/>
        <n v="7.82999992370605"/>
        <n v="4.07999992370605"/>
        <n v="5.96000003814697"/>
        <n v="8.06999969482422"/>
        <n v="10.0"/>
        <n v="8.47999954223633"/>
        <n v="7.61999988555908"/>
        <n v="5.03999996185303"/>
        <n v="4.88000011444092"/>
        <n v="7.75"/>
        <n v="9.19999980926514"/>
        <n v="7.07000017166138"/>
        <n v="11.0500001907349"/>
        <n v="9.59000015258789"/>
        <n v="9.4399995803833"/>
        <n v="8.57999992370605"/>
        <n v="8.27999973297119"/>
        <n v="7.73000001907349"/>
        <n v="9.09000015258789"/>
        <n v="10.0799999237061"/>
        <n v="0.5"/>
        <n v="6.11999988555908"/>
        <n v="0.0799999982118607"/>
        <n v="1.35000002384186"/>
        <n v="1.41999995708466"/>
        <n v="0.0399999991059303"/>
        <n v="0.340000003576279"/>
        <n v="3.22000002861023"/>
        <n v="7.34999990463257"/>
        <n v="8.43000030517578"/>
        <n v="3.13000011444092"/>
        <n v="4.40000009536743"/>
        <n v="3.26999998092651"/>
        <n v="3.98000001907349"/>
        <n v="2.65000009536743"/>
        <n v="0.419999986886978"/>
        <n v="4.03000020980835"/>
        <n v="4.46999979019165"/>
        <n v="2.95000004768372"/>
        <n v="5.19999980926514"/>
        <n v="5.5"/>
        <n v="6.88000011444092"/>
        <n v="3.79999995231628"/>
        <n v="3.1800000667572"/>
        <n v="0.0199999995529652"/>
        <n v="5.98999977111816"/>
        <n v="6.01000022888184"/>
        <n v="2.48000001907349"/>
        <n v="3.01999998092651"/>
        <n v="3.30999994277954"/>
        <n v="6.21000003814697"/>
        <n v="6.6399998664856"/>
        <n v="7.23000001907349"/>
        <n v="7.28000020980835"/>
        <n v="5.3600001335144"/>
        <n v="5.51999998092651"/>
        <n v="0.839999973773956"/>
        <n v="6.23999977111816"/>
        <n v="6.46999979019165"/>
        <n v="7.01999998092651"/>
        <n v="9.48999977111816"/>
        <n v="6.42000007629395"/>
        <n v="5.32999992370605"/>
        <n v="2.46000003814697"/>
        <n v="6.96000003814697"/>
        <n v="6.13000011444092"/>
        <n v="7.78000020980835"/>
        <n v="8.44999980926514"/>
        <n v="6.82000017166138"/>
        <n v="6.73000001907349"/>
        <n v="9.10000038146973"/>
        <n v="8.11999988555908"/>
        <n v="10.1800003051758"/>
        <n v="7.88000011444092"/>
        <n v="9.97000026702881"/>
        <n v="8.60999965667725"/>
        <n v="7.09999990463257"/>
        <n v="9.64000034332275"/>
        <n v="7.8899998664856"/>
        <n v="8.39999961853027"/>
        <n v="9.78999996185303"/>
        <n v="9.52000045776367"/>
        <n v="7.38000011444092"/>
        <n v="10.1300001144409"/>
        <n v="17.5400009155273"/>
        <n v="14.3800001144409"/>
        <n v="7.8600001335144"/>
        <n v="7.92000007629395"/>
        <n v="7.84000015258789"/>
        <n v="2.58999991416931"/>
        <n v="1.99000000953674"/>
        <n v="1.51999998092651"/>
        <n v="4.23999977111816"/>
        <n v="1.38999998569489"/>
        <n v="2.55999994277954"/>
        <n v="4.57999992370605"/>
        <n v="3.35999989509583"/>
        <n v="2.26999998092651"/>
        <n v="4.40999984741211"/>
        <n v="5.03000020980835"/>
        <n v="3.00999999046326"/>
        <n v="3.14000010490417"/>
        <n v="5.17999982833862"/>
        <n v="1.96000003814697"/>
        <n v="2.54999995231628"/>
        <n v="3.02999997138977"/>
        <n v="3.58999991416931"/>
        <n v="3.53999996185303"/>
        <n v="2.63000011444092"/>
        <n v="6.1100001335144"/>
        <n v="3.39000010490417"/>
        <n v="4.48999977111816"/>
        <n v="5.15000009536743"/>
        <n v="4.82000017166138"/>
        <n v="6.40000009536743"/>
        <n v="3.5699999332428"/>
        <n v="3.17000007629395"/>
        <n v="9.07999992370605"/>
        <n v="5.65999984741211"/>
        <n v="5.34999990463257"/>
        <n v="6.05000019073486"/>
        <n v="6.32000017166138"/>
        <n v="6.25"/>
        <n v="5.21999979019165"/>
        <n v="3.46000003814697"/>
        <n v="7.57000017166138"/>
        <n v="4.25"/>
        <n v="6.01999998092651"/>
        <n v="4.17000007629395"/>
        <n v="5.57999992370605"/>
        <n v="5.28000020980835"/>
        <n v="9.02999973297119"/>
        <n v="10.289999961853"/>
        <n v="5.30000019073486"/>
        <n v="12.2700004577637"/>
        <n v="12.2200002670288"/>
        <n v="7.42999982833862"/>
        <n v="5.71999979019165"/>
        <n v="7.32000017166138"/>
        <n v="8.05000019073486"/>
        <n v="8.22999954223633"/>
        <n v="7.67000007629395"/>
        <n v="6.98999977111816"/>
        <n v="5.63000011444092"/>
        <n v="11.6499996185303"/>
        <n v="10.4300003051758"/>
        <n v="7.96000003814697"/>
        <n v="3.16000008583069"/>
        <n v="10.8599996566772"/>
        <n v="0.430000007152557"/>
        <n v="2.4300000667572"/>
        <n v="10.1099996566772"/>
        <n v="8.0600004196167"/>
        <n v="7.63000011444092"/>
        <n v="2.69000005722046"/>
        <n v="1.17999994754791"/>
        <n v="7.76000022888184"/>
        <n v="8.32999992370605"/>
        <n v="0.779999971389771"/>
        <n v="3.36999988555908"/>
        <n v="8.39000034332275"/>
        <n v="2.76999998092651"/>
        <n v="9.51000022888184"/>
        <n v="6.28999996185303"/>
        <n v="1.22000002861023"/>
        <n v="4.0"/>
        <n v="10.710000038147"/>
        <n v="6.07999992370605"/>
        <n v="3.78999996185303"/>
        <n v="10.6599998474121"/>
        <n v="9.14000034332275"/>
        <n v="7.3899998664856"/>
        <n v="9.42000007629395"/>
        <n v="6.21999979019165"/>
        <n v="8.09000015258789"/>
        <n v="6.84999990463257"/>
        <n v="5.71000003814697"/>
        <n v="11.7799997329712"/>
        <n v="4.78000020980835"/>
        <n v="5.1399998664856"/>
        <n v="9.23999977111816"/>
        <n v="9.98999977111816"/>
        <n v="8.25"/>
        <n v="3.89000010490417"/>
        <n v="5.6399998664856"/>
        <n v="3.70000004768372"/>
        <n v="10.5900001525879"/>
        <n v="10.9099998474121"/>
        <n v="5.40000009536743"/>
        <n v="3.91000008583069"/>
        <n v="8.40999984741211"/>
        <n v="15.0100002288818"/>
        <n v="6.19999980926514"/>
        <n v="8.68000030517578"/>
        <n v="5.76000022888184"/>
        <n v="7.1100001335144"/>
        <n v="7.23999977111816"/>
        <n v="5.53000020980835"/>
        <n v="5.80000019073486"/>
        <n v="5.94000005722046"/>
        <n v="5.21000003814697"/>
        <n v="4.80999994277954"/>
        <n v="4.71999979019165"/>
        <n v="5.90000009536743"/>
        <n v="5.09999990463257"/>
        <n v="7.44000005722046"/>
        <n v="5.13000011444092"/>
        <n v="4.78999996185303"/>
        <n v="4.61999988555908"/>
        <n v="5.82999992370605"/>
        <n v="2.91000008583069"/>
        <n v="5.94999980926514"/>
        <n v="0.46000000834465"/>
        <n v="1.53999996185303"/>
        <n v="5.26999998092651"/>
        <n v="1.77999997138977"/>
        <n v="1.4099999666214"/>
        <n v="3.74000000953674"/>
        <n v="9.55000019073486"/>
        <n v="3.3199999332428"/>
        <n v="9.27000045776367"/>
        <n v="6.90000009536743"/>
        <n v="3.60999989509583"/>
        <n v="8.53999996185303"/>
        <n v="4.5"/>
        <n v="8.72000026702881"/>
        <n v="10.210000038147"/>
        <n v="9.64999961853027"/>
        <n v="8.23999977111816"/>
        <n v="3.52999997138977"/>
        <n v="5.3899998664856"/>
        <n v="10.9799995422363"/>
        <n v="10.4799995422363"/>
        <n v="11.3100004196167"/>
        <n v="9.1899995803833"/>
        <n v="10.2399997711182"/>
        <n v="7.42000007629395"/>
        <n v="13.3400001525879"/>
        <n v="10.1000003814697"/>
        <n v="10.2200002670288"/>
        <n v="10.1199998855591"/>
        <n v="14.3000001907349"/>
        <n v="2.51999998092651"/>
        <n v="3.75"/>
        <n v="9.18000030517578"/>
        <n v="10.8699998855591"/>
        <n v="11.1000003814697"/>
        <n v="5.67000007629395"/>
        <n v="10.6400003433228"/>
        <n v="6.17999982833862"/>
        <n v="6.53000020980835"/>
        <n v="9.40999984741211"/>
        <n v="6.76000022888184"/>
        <n v="8.3100004196167"/>
        <n v="5.59999990463257"/>
        <n v="8.38000011444092"/>
        <n v="9.10999965667725"/>
        <n v="10.789999961853"/>
        <n v="6.51999998092651"/>
        <n v="14.1199998855591"/>
        <n v="13.3500003814697"/>
        <n v="15.9700002670288"/>
        <n v="16.2399997711182"/>
        <n v="11.1099996566772"/>
        <n v="13.6899995803833"/>
        <n v="12.6599998474121"/>
        <n v="12.4799995422363"/>
        <n v="12.1899995803833"/>
        <n v="12.5100002288818"/>
        <n v="17.1900005340576"/>
        <n v="17.9500007629395"/>
        <n v="15.6899995803833"/>
        <n v="9.61999988555908"/>
        <n v="9.81999969482422"/>
        <n v="12.3999996185303"/>
        <n v="5.59000015258789"/>
        <n v="0.850000023841858"/>
        <n v="11.8999996185303"/>
        <n v="11.1499996185303"/>
        <n v="11.5100002288818"/>
        <n v="11.0"/>
        <n v="15.6700000762939"/>
        <n v="17.6499996185303"/>
        <n v="9.38000011444092"/>
        <n v="11.3599996566772"/>
        <n v="9.39999961853027"/>
        <n v="7.15999984741211"/>
        <n v="6.09999990463257"/>
        <n v="6.1399998664856"/>
        <n v="7.90999984741211"/>
        <n v="2.77999997138977"/>
        <n v="4.26999998092651"/>
        <n v="8.5600004196167"/>
        <n v="4.51000022888184"/>
        <n v="1.79999995231628"/>
        <n v="4.26000022888184"/>
        <n v="10.5600004196167"/>
        <n v="11.4700002670288"/>
        <n v="8.89000034332275"/>
        <n v="1.69000005722046"/>
        <n v="10.8100004196167"/>
        <n v="10.3599996566772"/>
        <n v="12.0100002288818"/>
        <n v="9.67000007629395"/>
        <n v="4.53000020980835"/>
        <n v="2.94000005722046"/>
        <n v="9.84000015258789"/>
        <n v="12.8500003814697"/>
        <n v="5.84000015258789"/>
        <n v="2.33999991416931"/>
        <n v="9.0600004196167"/>
        <n v="6.90999984741211"/>
        <n v="6.78999996185303"/>
        <n v="2.32999992370605"/>
        <n v="7.25"/>
        <n v="4.15000009536743"/>
        <n v="2.34999990463257"/>
        <n v="4.1100001335144"/>
        <n v="6.78000020980835"/>
        <n v="6.46000003814697"/>
        <n v="8.1899995803833"/>
        <n v="9.72999954223633"/>
        <n v="11.8299999237061"/>
        <n v="7.86999988555908"/>
        <n v="3.51999998092651"/>
        <n v="6.6100001335144"/>
        <n v="9.36999988555908"/>
        <n v="2.79999995231628"/>
        <n v="9.6899995803833"/>
        <n v="4.55999994277954"/>
        <n v="4.76999998092651"/>
        <n v="7.69999980926514"/>
        <n v="6.42999982833862"/>
        <n v="1.63999998569489"/>
        <n v="1.5900000333786"/>
        <n v="2.00999999046326"/>
        <n v="0.0900000035762787"/>
        <n v="0.259999990463257"/>
        <n v="3.94000005722046"/>
        <n v="1.16999995708466"/>
        <n v="1.46000003814697"/>
        <n v="20.3999996185303"/>
        <n v="9.57999992370605"/>
        <n v="18.9799995422363"/>
        <n v="7.17000007629395"/>
        <n v="25.2900009155273"/>
        <n v="8.86999988555908"/>
        <n v="8.67000007629395"/>
        <n v="17.3999996185303"/>
        <n v="18.1100006103516"/>
        <n v="17.6200008392334"/>
        <n v="16.3099994659424"/>
        <n v="15.7399997711182"/>
        <n v="20.6499996185303"/>
        <n v="11.3000001907349"/>
        <n v="26.7199993133545"/>
        <n v="8.31999969482422"/>
        <n v="3.64000010490417"/>
        <n v="8.21000003814697"/>
        <n v="16.2999992370605"/>
        <n v="19.3400001525879"/>
        <n v="8.10999965667725"/>
        <n v="18.25"/>
        <n v="8.14999961853027"/>
        <n v="19.5599994659424"/>
      </sharedItems>
    </cacheField>
    <cacheField name="TrackerDistance" numFmtId="0">
      <sharedItems containsSemiMixedTypes="0" containsString="0" containsNumber="1">
        <n v="8.5"/>
        <n v="6.96999979019165"/>
        <n v="6.73999977111816"/>
        <n v="6.28000020980835"/>
        <n v="8.15999984741211"/>
        <n v="6.48000001907349"/>
        <n v="8.59000015258789"/>
        <n v="9.88000011444092"/>
        <n v="6.67999982833862"/>
        <n v="6.34000015258789"/>
        <n v="8.13000011444092"/>
        <n v="9.03999996185303"/>
        <n v="6.40999984741211"/>
        <n v="9.80000019073486"/>
        <n v="8.78999996185303"/>
        <n v="12.210000038147"/>
        <n v="8.52999973297119"/>
        <n v="7.15000009536743"/>
        <n v="9.25"/>
        <n v="6.80999994277954"/>
        <n v="9.71000003814697"/>
        <n v="9.65999984741211"/>
        <n v="8.89999961853027"/>
        <n v="8.02999973297119"/>
        <n v="7.71000003814697"/>
        <n v="6.57999992370605"/>
        <n v="7.71999979019165"/>
        <n v="7.76999998092651"/>
        <n v="0.0"/>
        <n v="5.30999994277954"/>
        <n v="4.55000019073486"/>
        <n v="5.92000007629395"/>
        <n v="0.980000019073486"/>
        <n v="3.49000000953674"/>
        <n v="4.05999994277954"/>
        <n v="7.40999984741211"/>
        <n v="1.89999997615814"/>
        <n v="3.23000001907349"/>
        <n v="4.13000011444092"/>
        <n v="2.61999988555908"/>
        <n v="5.55000019073486"/>
        <n v="3.95000004768372"/>
        <n v="4.21999979019165"/>
        <n v="1.8400000333786"/>
        <n v="5.44000005722046"/>
        <n v="1.78999996185303"/>
        <n v="1.54999995231628"/>
        <n v="4.30000019073486"/>
        <n v="28.0300006866455"/>
        <n v="4.92999982833862"/>
        <n v="1.37000000476837"/>
        <n v="1.42999994754791"/>
        <n v="1.61000001430511"/>
        <n v="1.12000000476837"/>
        <n v="2.23000001907349"/>
        <n v="1.12999999523163"/>
        <n v="1.92999994754791"/>
        <n v="2.03999996185303"/>
        <n v="5.82000017166138"/>
        <n v="8.02000045776367"/>
        <n v="3.82999992370605"/>
        <n v="11.1199998855591"/>
        <n v="6.36999988555908"/>
        <n v="5.19000005722046"/>
        <n v="8.18000030517578"/>
        <n v="1.76999998092651"/>
        <n v="0.889999985694885"/>
        <n v="2.67000007629395"/>
        <n v="4.82999992370605"/>
        <n v="2.41000008583069"/>
        <n v="2.59999990463257"/>
        <n v="7.21000003814697"/>
        <n v="2.20000004768372"/>
        <n v="6.84000015258789"/>
        <n v="2.30999994277954"/>
        <n v="13.2399997711182"/>
        <n v="4.46000003814697"/>
        <n v="2.73000001907349"/>
        <n v="9.34000015258789"/>
        <n v="1.67999994754791"/>
        <n v="3.19000005722046"/>
        <n v="7.11999988555908"/>
        <n v="9.72000026702881"/>
        <n v="4.8899998664856"/>
        <n v="6.65999984741211"/>
        <n v="0.970000028610229"/>
        <n v="4.42999982833862"/>
        <n v="3.25999999046326"/>
        <n v="5.25"/>
        <n v="2.53999996185303"/>
        <n v="2.25999999046326"/>
        <n v="2.99000000953674"/>
        <n v="3.03999996185303"/>
        <n v="0.129999995231628"/>
        <n v="0.00999999977648258"/>
        <n v="5.32000017166138"/>
        <n v="3.54999995231628"/>
        <n v="2.35999989509583"/>
        <n v="4.57000017166138"/>
        <n v="3.25"/>
        <n v="1.70000004768372"/>
        <n v="2.6800000667572"/>
        <n v="1.48000001907349"/>
        <n v="0.0299999993294477"/>
        <n v="0.469999998807907"/>
        <n v="0.25"/>
        <n v="1.5"/>
        <n v="0.680000007152557"/>
        <n v="0.170000001788139"/>
        <n v="0.100000001490116"/>
        <n v="1.45000004768372"/>
        <n v="0.109999999403954"/>
        <n v="1.1599999666214"/>
        <n v="1.87000000476837"/>
        <n v="0.920000016689301"/>
        <n v="1.24000000953674"/>
        <n v="1.03999996185303"/>
        <n v="8.34000015258789"/>
        <n v="7.5"/>
        <n v="7.09000015258789"/>
        <n v="11.3999996185303"/>
        <n v="10.0699996948242"/>
        <n v="10.6700000762939"/>
        <n v="8.73999977111816"/>
        <n v="9.32999992370605"/>
        <n v="4.21000003814697"/>
        <n v="10.2799997329712"/>
        <n v="8.01000022888184"/>
        <n v="7.19000005722046"/>
        <n v="7.13000011444092"/>
        <n v="12.9099998474121"/>
        <n v="7.40000009536743"/>
        <n v="7.28999996185303"/>
        <n v="8.28999996185303"/>
        <n v="8.35000038146973"/>
        <n v="7.17999982833862"/>
        <n v="4.71000003814697"/>
        <n v="9.39000034332275"/>
        <n v="8.97999954223633"/>
        <n v="9.31999969482422"/>
        <n v="2.74000000953674"/>
        <n v="3.09999990463257"/>
        <n v="2.0699999332428"/>
        <n v="2.36999988555908"/>
        <n v="1.58000004291534"/>
        <n v="0.519999980926514"/>
        <n v="2.05999994277954"/>
        <n v="4.48000001907349"/>
        <n v="1.52999997138977"/>
        <n v="1.80999994277954"/>
        <n v="2.16000008583069"/>
        <n v="3.73000001907349"/>
        <n v="3.6800000667572"/>
        <n v="3.76999998092651"/>
        <n v="2.9300000667572"/>
        <n v="2.27999997138977"/>
        <n v="4.34999990463257"/>
        <n v="3.72000002861023"/>
        <n v="4.07000017166138"/>
        <n v="7.53999996185303"/>
        <n v="5.07999992370605"/>
        <n v="3.45000004768372"/>
        <n v="6.61999988555908"/>
        <n v="0.159999996423721"/>
        <n v="5.51000022888184"/>
        <n v="7.48999977111816"/>
        <n v="4.90000009536743"/>
        <n v="3.50999999046326"/>
        <n v="3.41000008583069"/>
        <n v="4.17999982833862"/>
        <n v="4.42000007629395"/>
        <n v="4.03999996185303"/>
        <n v="4.84999990463257"/>
        <n v="2.28999996185303"/>
        <n v="3.75999999046326"/>
        <n v="3.42000007629395"/>
        <n v="2.80999994277954"/>
        <n v="2.42000007629395"/>
        <n v="2.29999995231628"/>
        <n v="1.02999997138977"/>
        <n v="0.620000004768372"/>
        <n v="3.07999992370605"/>
        <n v="2.45000004768372"/>
        <n v="5.01999998092651"/>
        <n v="0.810000002384186"/>
        <n v="3.28999996185303"/>
        <n v="4.96999979019165"/>
        <n v="3.48000001907349"/>
        <n v="2.07999992370605"/>
        <n v="4.19999980926514"/>
        <n v="4.32999992370605"/>
        <n v="6.82999992370605"/>
        <n v="7.01000022888184"/>
        <n v="6.69999980926514"/>
        <n v="6.92000007629395"/>
        <n v="15.0799999237061"/>
        <n v="3.61999988555908"/>
        <n v="5.44999980926514"/>
        <n v="4.44000005722046"/>
        <n v="7.26999998092651"/>
        <n v="6.75"/>
        <n v="5.15999984741211"/>
        <n v="11.3699998855591"/>
        <n v="6.26000022888184"/>
        <n v="6.38000011444092"/>
        <n v="7.57999992370605"/>
        <n v="3.59999990463257"/>
        <n v="5.90999984741211"/>
        <n v="5.11999988555908"/>
        <n v="5.69999980926514"/>
        <n v="6.65000009536743"/>
        <n v="5.23999977111816"/>
        <n v="5.36999988555908"/>
        <n v="6.30000019073486"/>
        <n v="5.98000001907349"/>
        <n v="6.34999990463257"/>
        <n v="4.67999982833862"/>
        <n v="4.94999980926514"/>
        <n v="5.53999996185303"/>
        <n v="5.40999984741211"/>
        <n v="5.67999982833862"/>
        <n v="5.05999994277954"/>
        <n v="4.98000001907349"/>
        <n v="5.55999994277954"/>
        <n v="5.6100001335144"/>
        <n v="4.75"/>
        <n v="3.38000011444092"/>
        <n v="5.1100001335144"/>
        <n v="3.24000000953674"/>
        <n v="6.63000011444092"/>
        <n v="6.03000020980835"/>
        <n v="4.73000001907349"/>
        <n v="5.88000011444092"/>
        <n v="4.6399998664856"/>
        <n v="5.26000022888184"/>
        <n v="3.32999992370605"/>
        <n v="6.07000017166138"/>
        <n v="5.07000017166138"/>
        <n v="4.59000015258789"/>
        <n v="4.09000015258789"/>
        <n v="5.78999996185303"/>
        <n v="5.42000007629395"/>
        <n v="6.23000001907349"/>
        <n v="3.57999992370605"/>
        <n v="2.09999990463257"/>
        <n v="6.71000003814697"/>
        <n v="6.05999994277954"/>
        <n v="9.0"/>
        <n v="7.80000019073486"/>
        <n v="8.77999973297119"/>
        <n v="7.82999992370605"/>
        <n v="4.07999992370605"/>
        <n v="5.96000003814697"/>
        <n v="8.06999969482422"/>
        <n v="10.0"/>
        <n v="8.47999954223633"/>
        <n v="7.61999988555908"/>
        <n v="5.03999996185303"/>
        <n v="4.88000011444092"/>
        <n v="7.75"/>
        <n v="9.19999980926514"/>
        <n v="7.07000017166138"/>
        <n v="11.0500001907349"/>
        <n v="9.59000015258789"/>
        <n v="9.4399995803833"/>
        <n v="8.57999992370605"/>
        <n v="8.27999973297119"/>
        <n v="7.73000001907349"/>
        <n v="9.09000015258789"/>
        <n v="10.0799999237061"/>
        <n v="0.5"/>
        <n v="6.11999988555908"/>
        <n v="0.0799999982118607"/>
        <n v="1.35000002384186"/>
        <n v="1.41999995708466"/>
        <n v="0.0399999991059303"/>
        <n v="0.340000003576279"/>
        <n v="3.22000002861023"/>
        <n v="7.34999990463257"/>
        <n v="8.43000030517578"/>
        <n v="3.13000011444092"/>
        <n v="4.40000009536743"/>
        <n v="3.26999998092651"/>
        <n v="3.98000001907349"/>
        <n v="2.65000009536743"/>
        <n v="0.419999986886978"/>
        <n v="4.03000020980835"/>
        <n v="4.46999979019165"/>
        <n v="2.95000004768372"/>
        <n v="5.19999980926514"/>
        <n v="5.5"/>
        <n v="6.88000011444092"/>
        <n v="3.79999995231628"/>
        <n v="3.1800000667572"/>
        <n v="0.0199999995529652"/>
        <n v="5.98999977111816"/>
        <n v="6.01000022888184"/>
        <n v="2.48000001907349"/>
        <n v="3.01999998092651"/>
        <n v="3.30999994277954"/>
        <n v="6.21000003814697"/>
        <n v="6.6399998664856"/>
        <n v="7.23000001907349"/>
        <n v="7.28000020980835"/>
        <n v="5.3600001335144"/>
        <n v="5.51999998092651"/>
        <n v="0.839999973773956"/>
        <n v="6.23999977111816"/>
        <n v="6.46999979019165"/>
        <n v="7.01999998092651"/>
        <n v="9.48999977111816"/>
        <n v="6.42000007629395"/>
        <n v="5.32999992370605"/>
        <n v="2.46000003814697"/>
        <n v="6.96000003814697"/>
        <n v="6.13000011444092"/>
        <n v="7.78000020980835"/>
        <n v="8.44999980926514"/>
        <n v="6.82000017166138"/>
        <n v="6.73000001907349"/>
        <n v="9.10000038146973"/>
        <n v="8.11999988555908"/>
        <n v="10.1800003051758"/>
        <n v="7.88000011444092"/>
        <n v="9.97000026702881"/>
        <n v="8.60999965667725"/>
        <n v="7.09999990463257"/>
        <n v="9.64000034332275"/>
        <n v="7.8899998664856"/>
        <n v="8.39999961853027"/>
        <n v="9.78999996185303"/>
        <n v="9.52000045776367"/>
        <n v="7.38000011444092"/>
        <n v="10.1300001144409"/>
        <n v="17.5400009155273"/>
        <n v="14.3800001144409"/>
        <n v="7.8600001335144"/>
        <n v="7.92000007629395"/>
        <n v="7.84000015258789"/>
        <n v="2.58999991416931"/>
        <n v="1.99000000953674"/>
        <n v="1.51999998092651"/>
        <n v="4.23999977111816"/>
        <n v="1.38999998569489"/>
        <n v="2.55999994277954"/>
        <n v="4.57999992370605"/>
        <n v="3.35999989509583"/>
        <n v="2.26999998092651"/>
        <n v="4.40999984741211"/>
        <n v="5.03000020980835"/>
        <n v="3.00999999046326"/>
        <n v="3.14000010490417"/>
        <n v="5.17999982833862"/>
        <n v="1.96000003814697"/>
        <n v="2.54999995231628"/>
        <n v="3.02999997138977"/>
        <n v="3.58999991416931"/>
        <n v="3.53999996185303"/>
        <n v="2.63000011444092"/>
        <n v="6.1100001335144"/>
        <n v="3.39000010490417"/>
        <n v="4.48999977111816"/>
        <n v="5.15000009536743"/>
        <n v="4.82000017166138"/>
        <n v="6.40000009536743"/>
        <n v="3.5699999332428"/>
        <n v="3.17000007629395"/>
        <n v="9.07999992370605"/>
        <n v="5.65999984741211"/>
        <n v="5.34999990463257"/>
        <n v="6.05000019073486"/>
        <n v="6.32000017166138"/>
        <n v="6.25"/>
        <n v="5.21999979019165"/>
        <n v="3.46000003814697"/>
        <n v="7.57000017166138"/>
        <n v="4.25"/>
        <n v="6.01999998092651"/>
        <n v="4.17000007629395"/>
        <n v="5.57999992370605"/>
        <n v="5.28000020980835"/>
        <n v="9.02999973297119"/>
        <n v="10.289999961853"/>
        <n v="5.30000019073486"/>
        <n v="12.2700004577637"/>
        <n v="12.2200002670288"/>
        <n v="7.42999982833862"/>
        <n v="5.71999979019165"/>
        <n v="7.32000017166138"/>
        <n v="8.05000019073486"/>
        <n v="8.22999954223633"/>
        <n v="7.67000007629395"/>
        <n v="6.98999977111816"/>
        <n v="5.63000011444092"/>
        <n v="11.6499996185303"/>
        <n v="10.4300003051758"/>
        <n v="7.96000003814697"/>
        <n v="3.16000008583069"/>
        <n v="10.8599996566772"/>
        <n v="0.430000007152557"/>
        <n v="2.4300000667572"/>
        <n v="10.1099996566772"/>
        <n v="8.0600004196167"/>
        <n v="7.63000011444092"/>
        <n v="2.69000005722046"/>
        <n v="1.17999994754791"/>
        <n v="7.76000022888184"/>
        <n v="8.32999992370605"/>
        <n v="0.779999971389771"/>
        <n v="3.36999988555908"/>
        <n v="8.39000034332275"/>
        <n v="2.76999998092651"/>
        <n v="9.51000022888184"/>
        <n v="6.28999996185303"/>
        <n v="1.22000002861023"/>
        <n v="4.0"/>
        <n v="10.710000038147"/>
        <n v="6.07999992370605"/>
        <n v="3.78999996185303"/>
        <n v="10.6599998474121"/>
        <n v="9.14000034332275"/>
        <n v="7.3899998664856"/>
        <n v="9.42000007629395"/>
        <n v="6.21999979019165"/>
        <n v="8.09000015258789"/>
        <n v="6.84999990463257"/>
        <n v="5.71000003814697"/>
        <n v="11.7799997329712"/>
        <n v="4.78000020980835"/>
        <n v="5.1399998664856"/>
        <n v="9.23999977111816"/>
        <n v="9.98999977111816"/>
        <n v="8.25"/>
        <n v="3.89000010490417"/>
        <n v="5.6399998664856"/>
        <n v="3.70000004768372"/>
        <n v="10.5900001525879"/>
        <n v="10.9099998474121"/>
        <n v="5.40000009536743"/>
        <n v="3.91000008583069"/>
        <n v="8.40999984741211"/>
        <n v="15.0100002288818"/>
        <n v="6.19999980926514"/>
        <n v="8.68000030517578"/>
        <n v="5.76000022888184"/>
        <n v="7.1100001335144"/>
        <n v="7.23999977111816"/>
        <n v="5.53000020980835"/>
        <n v="5.80000019073486"/>
        <n v="5.94000005722046"/>
        <n v="5.21000003814697"/>
        <n v="4.80999994277954"/>
        <n v="4.71999979019165"/>
        <n v="5.90000009536743"/>
        <n v="5.09999990463257"/>
        <n v="7.44000005722046"/>
        <n v="5.13000011444092"/>
        <n v="4.78999996185303"/>
        <n v="4.61999988555908"/>
        <n v="5.82999992370605"/>
        <n v="2.91000008583069"/>
        <n v="5.94999980926514"/>
        <n v="0.46000000834465"/>
        <n v="1.53999996185303"/>
        <n v="5.26999998092651"/>
        <n v="1.77999997138977"/>
        <n v="1.4099999666214"/>
        <n v="3.74000000953674"/>
        <n v="9.55000019073486"/>
        <n v="3.3199999332428"/>
        <n v="6.90000009536743"/>
        <n v="3.60999989509583"/>
        <n v="8.53999996185303"/>
        <n v="4.5"/>
        <n v="10.210000038147"/>
        <n v="9.47999954223633"/>
        <n v="8.60000038146973"/>
        <n v="7.48000001907349"/>
        <n v="3.52999997138977"/>
        <n v="5.3899998664856"/>
        <n v="9.90999984741211"/>
        <n v="9.5"/>
        <n v="10.4099998474121"/>
        <n v="9.1899995803833"/>
        <n v="10.2399997711182"/>
        <n v="7.42000007629395"/>
        <n v="12.1999998092651"/>
        <n v="10.1000003814697"/>
        <n v="9.0600004196167"/>
        <n v="10.1199998855591"/>
        <n v="13.4200000762939"/>
        <n v="2.51999998092651"/>
        <n v="3.75"/>
        <n v="8.72000026702881"/>
        <n v="10.039999961853"/>
        <n v="5.67000007629395"/>
        <n v="10.6400003433228"/>
        <n v="6.17999982833862"/>
        <n v="6.53000020980835"/>
        <n v="9.40999984741211"/>
        <n v="6.76000022888184"/>
        <n v="8.3100004196167"/>
        <n v="5.59999990463257"/>
        <n v="8.38000011444092"/>
        <n v="9.10999965667725"/>
        <n v="10.789999961853"/>
        <n v="6.51999998092651"/>
        <n v="14.1199998855591"/>
        <n v="13.3500003814697"/>
        <n v="15.9700002670288"/>
        <n v="16.2399997711182"/>
        <n v="11.1099996566772"/>
        <n v="13.6899995803833"/>
        <n v="12.6599998474121"/>
        <n v="12.4799995422363"/>
        <n v="12.1899995803833"/>
        <n v="12.5100002288818"/>
        <n v="17.1900005340576"/>
        <n v="17.9500007629395"/>
        <n v="15.6899995803833"/>
        <n v="9.61999988555908"/>
        <n v="9.81999969482422"/>
        <n v="12.3999996185303"/>
        <n v="9.64999961853027"/>
        <n v="5.59000015258789"/>
        <n v="0.850000023841858"/>
        <n v="11.8999996185303"/>
        <n v="11.1499996185303"/>
        <n v="11.5100002288818"/>
        <n v="11.0"/>
        <n v="15.6700000762939"/>
        <n v="17.6499996185303"/>
        <n v="9.38000011444092"/>
        <n v="11.3599996566772"/>
        <n v="9.39999961853027"/>
        <n v="7.15999984741211"/>
        <n v="6.09999990463257"/>
        <n v="6.1399998664856"/>
        <n v="7.90999984741211"/>
        <n v="2.77999997138977"/>
        <n v="4.26999998092651"/>
        <n v="8.5600004196167"/>
        <n v="4.51000022888184"/>
        <n v="1.79999995231628"/>
        <n v="4.26000022888184"/>
        <n v="10.5600004196167"/>
        <n v="11.4700002670288"/>
        <n v="8.89000034332275"/>
        <n v="1.69000005722046"/>
        <n v="10.8100004196167"/>
        <n v="10.3599996566772"/>
        <n v="12.0100002288818"/>
        <n v="9.67000007629395"/>
        <n v="4.53000020980835"/>
        <n v="2.94000005722046"/>
        <n v="9.84000015258789"/>
        <n v="12.8500003814697"/>
        <n v="5.84000015258789"/>
        <n v="2.33999991416931"/>
        <n v="6.90999984741211"/>
        <n v="6.78999996185303"/>
        <n v="2.32999992370605"/>
        <n v="7.25"/>
        <n v="4.15000009536743"/>
        <n v="2.34999990463257"/>
        <n v="4.1100001335144"/>
        <n v="6.78000020980835"/>
        <n v="6.46000003814697"/>
        <n v="8.1899995803833"/>
        <n v="9.72999954223633"/>
        <n v="11.8299999237061"/>
        <n v="7.86999988555908"/>
        <n v="3.51999998092651"/>
        <n v="6.6100001335144"/>
        <n v="9.36999988555908"/>
        <n v="2.79999995231628"/>
        <n v="9.6899995803833"/>
        <n v="4.55999994277954"/>
        <n v="4.76999998092651"/>
        <n v="7.69999980926514"/>
        <n v="6.42999982833862"/>
        <n v="1.63999998569489"/>
        <n v="1.5900000333786"/>
        <n v="2.00999999046326"/>
        <n v="0.0900000035762787"/>
        <n v="0.259999990463257"/>
        <n v="3.94000005722046"/>
        <n v="1.16999995708466"/>
        <n v="1.46000003814697"/>
        <n v="20.3999996185303"/>
        <n v="9.57999992370605"/>
        <n v="18.9799995422363"/>
        <n v="7.17000007629395"/>
        <n v="25.2900009155273"/>
        <n v="8.86999988555908"/>
        <n v="8.67000007629395"/>
        <n v="17.3999996185303"/>
        <n v="18.1100006103516"/>
        <n v="17.6200008392334"/>
        <n v="16.3099994659424"/>
        <n v="15.7399997711182"/>
        <n v="20.6499996185303"/>
        <n v="11.3000001907349"/>
        <n v="26.7199993133545"/>
        <n v="8.31999969482422"/>
        <n v="3.64000010490417"/>
        <n v="8.21000003814697"/>
        <n v="16.2999992370605"/>
        <n v="19.3400001525879"/>
        <n v="8.10999965667725"/>
        <n v="18.25"/>
        <n v="8.14999961853027"/>
        <n v="19.5599994659424"/>
      </sharedItems>
    </cacheField>
    <cacheField name="LoggedActivitiesDistance" numFmtId="0">
      <sharedItems containsSemiMixedTypes="0" containsString="0" containsNumber="1">
        <n v="0.0"/>
        <n v="1.95959603786469"/>
        <n v="4.08169221878052"/>
        <n v="2.78517508506775"/>
        <n v="3.16782188415527"/>
        <n v="4.8697829246521"/>
        <n v="4.8513069152832"/>
        <n v="3.28541493415833"/>
        <n v="4.93055009841919"/>
        <n v="4.94214200973511"/>
        <n v="4.92484092712402"/>
        <n v="4.86179208755493"/>
        <n v="4.88560485839844"/>
        <n v="4.91114616394043"/>
        <n v="2.83232593536377"/>
        <n v="4.91236782073975"/>
        <n v="4.8782320022583"/>
        <n v="2.25308108329773"/>
        <n v="2.0921471118927"/>
      </sharedItems>
    </cacheField>
    <cacheField name="VeryActiveDistance" numFmtId="0">
      <sharedItems containsSemiMixedTypes="0" containsString="0" containsNumber="1">
        <n v="1.87999999523163"/>
        <n v="1.57000005245209"/>
        <n v="2.44000005722046"/>
        <n v="2.14000010490417"/>
        <n v="2.71000003814697"/>
        <n v="3.19000005722046"/>
        <n v="3.25"/>
        <n v="3.52999997138977"/>
        <n v="1.96000003814697"/>
        <n v="1.3400000333786"/>
        <n v="4.76000022888184"/>
        <n v="2.80999994277954"/>
        <n v="2.92000007629395"/>
        <n v="5.28999996185303"/>
        <n v="2.32999992370605"/>
        <n v="6.40000009536743"/>
        <n v="3.53999996185303"/>
        <n v="1.05999994277954"/>
        <n v="3.55999994277954"/>
        <n v="2.28999996185303"/>
        <n v="3.21000003814697"/>
        <n v="3.73000001907349"/>
        <n v="2.46000003814697"/>
        <n v="1.97000002861023"/>
        <n v="3.45000004768372"/>
        <n v="3.34999990463257"/>
        <n v="2.55999994277954"/>
        <n v="0.0"/>
        <n v="1.02999997138977"/>
        <n v="2.15000009536743"/>
        <n v="1.14999997615814"/>
        <n v="1.11000001430511"/>
        <n v="0.899999976158142"/>
        <n v="21.9200000762939"/>
        <n v="0.860000014305115"/>
        <n v="0.140000000596046"/>
        <n v="2.27999997138977"/>
        <n v="0.360000014305115"/>
        <n v="0.219999998807907"/>
        <n v="4.09999990463257"/>
        <n v="2.25"/>
        <n v="1.07000005245209"/>
        <n v="0.589999973773956"/>
        <n v="0.800000011920929"/>
        <n v="0.200000002980232"/>
        <n v="0.629999995231628"/>
        <n v="0.239999994635582"/>
        <n v="0.0700000002980232"/>
        <n v="0.720000028610229"/>
        <n v="0.519999980926514"/>
        <n v="0.819999992847443"/>
        <n v="3.25999999046326"/>
        <n v="2.39000010490417"/>
        <n v="0.879999995231628"/>
        <n v="0.119999997317791"/>
        <n v="1.00999999046326"/>
        <n v="1.1599999666214"/>
        <n v="0.730000019073486"/>
        <n v="3.30999994277954"/>
        <n v="2.99000000953674"/>
        <n v="2.48000001907349"/>
        <n v="1.94000005722046"/>
        <n v="3.15000009536743"/>
        <n v="3.86999988555908"/>
        <n v="3.64000010490417"/>
        <n v="3.28999996185303"/>
        <n v="3.33999991416931"/>
        <n v="3.32999992370605"/>
        <n v="4.42999982833862"/>
        <n v="4.55000019073486"/>
        <n v="1.42999994754791"/>
        <n v="1.03999996185303"/>
        <n v="0.409999996423721"/>
        <n v="0.479999989271164"/>
        <n v="0.939999997615814"/>
        <n v="2.60999989509583"/>
        <n v="3.99000000953674"/>
        <n v="2.50999999046326"/>
        <n v="2.78999996185303"/>
        <n v="1.87000000476837"/>
        <n v="1.61000001430511"/>
        <n v="2.11999988555908"/>
        <n v="2.22000002861023"/>
        <n v="4.17999982833862"/>
        <n v="1.27999997138977"/>
        <n v="0.189999997615814"/>
        <n v="1.16999995708466"/>
        <n v="0.0599999986588955"/>
        <n v="0.230000004172325"/>
        <n v="1.49000000953674"/>
        <n v="2.0"/>
        <n v="1.6599999666214"/>
        <n v="0.0199999995529652"/>
        <n v="5.44999980926514"/>
        <n v="0.0799999982118607"/>
        <n v="0.790000021457672"/>
        <n v="0.680000007152557"/>
        <n v="1.85000002384186"/>
        <n v="0.560000002384186"/>
        <n v="2.77999997138977"/>
        <n v="1.26999998092651"/>
        <n v="1.86000001430511"/>
        <n v="0.109999999403954"/>
        <n v="3.10999989509583"/>
        <n v="1.50999999046326"/>
        <n v="0.129999995231628"/>
        <n v="0.46000000834465"/>
        <n v="2.08999991416931"/>
        <n v="3.0"/>
        <n v="2.16000008583069"/>
        <n v="1.36000001430511"/>
        <n v="0.330000013113022"/>
        <n v="0.490000009536743"/>
        <n v="0.779999971389771"/>
        <n v="2.90000009536743"/>
        <n v="0.990000009536743"/>
        <n v="0.340000003576279"/>
        <n v="1.4099999666214"/>
        <n v="1.08000004291534"/>
        <n v="0.839999973773956"/>
        <n v="1.39999997615814"/>
        <n v="0.889999985694885"/>
        <n v="1.58000004291534"/>
        <n v="3.05999994277954"/>
        <n v="2.02999997138977"/>
        <n v="0.319999992847443"/>
        <n v="1.04999995231628"/>
        <n v="0.699999988079071"/>
        <n v="0.25"/>
        <n v="2.24000000953674"/>
        <n v="3.26999998092651"/>
        <n v="5.61999988555908"/>
        <n v="0.449999988079071"/>
        <n v="1.37000000476837"/>
        <n v="3.74000000953674"/>
        <n v="3.69000005722046"/>
        <n v="2.67000007629395"/>
        <n v="1.53999996185303"/>
        <n v="3.3199999332428"/>
        <n v="1.80999994277954"/>
        <n v="1.75999999046326"/>
        <n v="0.769999980926514"/>
        <n v="0.370000004768372"/>
        <n v="0.150000005960464"/>
        <n v="0.209999993443489"/>
        <n v="0.670000016689301"/>
        <n v="2.61999988555908"/>
        <n v="0.529999971389771"/>
        <n v="0.569999992847443"/>
        <n v="0.400000005960464"/>
        <n v="0.579999983310699"/>
        <n v="2.63000011444092"/>
        <n v="1.10000002384186"/>
        <n v="3.29999995231628"/>
        <n v="4.5"/>
        <n v="1.28999996185303"/>
        <n v="3.76999998092651"/>
        <n v="1.12999999523163"/>
        <n v="2.10999989509583"/>
        <n v="9.44999980926514"/>
        <n v="9.89000034332275"/>
        <n v="0.810000002384186"/>
        <n v="2.41000008583069"/>
        <n v="2.21000003814697"/>
        <n v="2.13000011444092"/>
        <n v="1.24000000953674"/>
        <n v="0.550000011920929"/>
        <n v="0.980000019073486"/>
        <n v="0.0500000007450581"/>
        <n v="0.419999986886978"/>
        <n v="0.430000007152557"/>
        <n v="1.01999998092651"/>
        <n v="0.469999998807907"/>
        <n v="0.600000023841858"/>
        <n v="1.79999995231628"/>
        <n v="0.740000009536743"/>
        <n v="0.259999990463257"/>
        <n v="0.959999978542328"/>
        <n v="1.82000005245209"/>
        <n v="0.159999996423721"/>
        <n v="0.310000002384186"/>
        <n v="0.759999990463257"/>
        <n v="1.20000004768372"/>
        <n v="0.0900000035762787"/>
        <n v="0.379999995231628"/>
        <n v="4.0"/>
        <n v="4.15999984741211"/>
        <n v="4.28000020980835"/>
        <n v="2.95000004768372"/>
        <n v="1.37999999523163"/>
        <n v="2.9300000667572"/>
        <n v="2.36999988555908"/>
        <n v="1.13999998569489"/>
        <n v="3.71000003814697"/>
        <n v="1.5"/>
        <n v="3.4300000667572"/>
        <n v="1.51999998092651"/>
        <n v="3.59999990463257"/>
        <n v="3.92000007629395"/>
        <n v="6.6399998664856"/>
        <n v="5.98000001907349"/>
        <n v="4.8600001335144"/>
        <n v="7.01999998092651"/>
        <n v="4.11999988555908"/>
        <n v="3.65000009536743"/>
        <n v="2.42000007629395"/>
        <n v="1.21000003814697"/>
        <n v="7.65000009536743"/>
        <n v="1.35000002384186"/>
        <n v="0.850000023841858"/>
        <n v="2.83999991416931"/>
        <n v="5.82999992370605"/>
        <n v="5.30999994277954"/>
        <n v="1.12000000476837"/>
        <n v="4.51999998092651"/>
        <n v="1.55999994277954"/>
        <n v="2.5"/>
        <n v="1.92999994754791"/>
        <n v="1.83000004291534"/>
        <n v="0.660000026226044"/>
        <n v="0.870000004768372"/>
        <n v="2.51999998092651"/>
        <n v="0.349999994039536"/>
        <n v="2.26999998092651"/>
        <n v="3.48000001907349"/>
        <n v="3.40000009536743"/>
        <n v="3.66000008583069"/>
        <n v="0.829999983310699"/>
        <n v="2.09999990463257"/>
        <n v="1.76999998092651"/>
        <n v="4.19999980926514"/>
        <n v="3.01999998092651"/>
        <n v="2.57999992370605"/>
        <n v="1.74000000953674"/>
        <n v="3.90000009536743"/>
        <n v="3.47000002861023"/>
        <n v="4.6100001335144"/>
        <n v="3.78999996185303"/>
        <n v="4.40999984741211"/>
        <n v="4.78999996185303"/>
        <n v="4.30999994277954"/>
        <n v="0.930000007152557"/>
        <n v="4.26999998092651"/>
        <n v="1.0900000333786"/>
        <n v="4.6399998664856"/>
        <n v="4.48000001907349"/>
        <n v="4.32999992370605"/>
        <n v="5.26999998092651"/>
        <n v="2.03999996185303"/>
        <n v="3.17000007629395"/>
        <n v="7.6399998664856"/>
        <n v="2.86999988555908"/>
        <n v="3.75"/>
        <n v="5.63000011444092"/>
        <n v="3.11999988555908"/>
        <n v="2.29999995231628"/>
        <n v="2.74000000953674"/>
        <n v="5.28000020980835"/>
        <n v="1.77999997138977"/>
        <n v="3.8199999332428"/>
        <n v="1.46000003814697"/>
        <n v="2.30999994277954"/>
        <n v="4.26000022888184"/>
        <n v="7.1100001335144"/>
        <n v="2.89000010490417"/>
        <n v="11.6400003433228"/>
        <n v="10.4300003051758"/>
        <n v="12.3400001525879"/>
        <n v="13.2600002288818"/>
        <n v="9.35999965667725"/>
        <n v="9.23999977111816"/>
        <n v="9.07999992370605"/>
        <n v="9.22000026702881"/>
        <n v="9.57999992370605"/>
        <n v="9.67000007629395"/>
        <n v="6.26000022888184"/>
        <n v="12.539999961853"/>
        <n v="13.1300001144409"/>
        <n v="11.3699998855591"/>
        <n v="6.30999994277954"/>
        <n v="6.46000003814697"/>
        <n v="6.17000007629395"/>
        <n v="8.39000034332275"/>
        <n v="8.81999969482422"/>
        <n v="8.85000038146973"/>
        <n v="9.10000038146973"/>
        <n v="12.4399995803833"/>
        <n v="13.3999996185303"/>
        <n v="6.11999988555908"/>
        <n v="9.09000015258789"/>
        <n v="6.07999992370605"/>
        <n v="5.42999982833862"/>
        <n v="4.17000007629395"/>
        <n v="5.88000011444092"/>
        <n v="5.59999990463257"/>
        <n v="1.17999994754791"/>
        <n v="6.23999977111816"/>
        <n v="4.96000003814697"/>
        <n v="4.90999984741211"/>
        <n v="5.36999988555908"/>
        <n v="5.05000019073486"/>
        <n v="5.30000019073486"/>
        <n v="2.23000001907349"/>
        <n v="6.90000009536743"/>
        <n v="7.51000022888184"/>
        <n v="6.03000020980835"/>
        <n v="1.54999995231628"/>
        <n v="1.38999998569489"/>
        <n v="0.649999976158142"/>
        <n v="0.28999999165535"/>
        <n v="1.47000002861023"/>
        <n v="6.59999990463257"/>
        <n v="5.76000022888184"/>
        <n v="0.689999997615814"/>
        <n v="0.0399999991059303"/>
        <n v="12.2200002670288"/>
        <n v="3.54999995231628"/>
        <n v="10.5500001907349"/>
        <n v="13.2399997711182"/>
        <n v="12.1499996185303"/>
        <n v="11.0200004577637"/>
        <n v="12.289999961853"/>
        <n v="10.2299995422363"/>
        <n v="11.0100002288818"/>
        <n v="13.0699996948242"/>
        <n v="4.92999982833862"/>
        <n v="21.6599998474121"/>
        <n v="3.13000011444092"/>
        <n v="10.4200000762939"/>
        <n v="5.46000003814697"/>
        <n v="12.789999961853"/>
        <n v="11.1000003814697"/>
        <n v="13.2200002670288"/>
      </sharedItems>
    </cacheField>
    <cacheField name="ModeratelyActiveDistance" numFmtId="0">
      <sharedItems containsSemiMixedTypes="0" containsString="0" containsNumber="1">
        <n v="0.550000011920929"/>
        <n v="0.689999997615814"/>
        <n v="0.400000005960464"/>
        <n v="1.25999999046326"/>
        <n v="0.409999996423721"/>
        <n v="0.779999971389771"/>
        <n v="0.639999985694885"/>
        <n v="1.32000005245209"/>
        <n v="0.479999989271164"/>
        <n v="0.349999994039536"/>
        <n v="1.12000000476837"/>
        <n v="0.870000004768372"/>
        <n v="0.209999993443489"/>
        <n v="0.569999992847443"/>
        <n v="0.920000016689301"/>
        <n v="1.1599999666214"/>
        <n v="0.5"/>
        <n v="1.41999995708466"/>
        <n v="1.60000002384186"/>
        <n v="1.04999995231628"/>
        <n v="1.08000004291534"/>
        <n v="0.25"/>
        <n v="2.11999988555908"/>
        <n v="0.319999992847443"/>
        <n v="0.529999971389771"/>
        <n v="1.00999999046326"/>
        <n v="0.0"/>
        <n v="1.51999998092651"/>
        <n v="0.620000004768372"/>
        <n v="0.910000026226044"/>
        <n v="1.87000000476837"/>
        <n v="0.200000002980232"/>
        <n v="1.27999997138977"/>
        <n v="4.19000005722046"/>
        <n v="0.589999973773956"/>
        <n v="2.29999995231628"/>
        <n v="0.899999976158142"/>
        <n v="2.55999994277954"/>
        <n v="0.150000005960464"/>
        <n v="1.87999999523163"/>
        <n v="1.66999995708466"/>
        <n v="2.52999997138977"/>
        <n v="0.579999983310699"/>
        <n v="0.0599999986588955"/>
        <n v="1.72000002861023"/>
        <n v="2.3199999332428"/>
        <n v="3.14000010490417"/>
        <n v="0.990000009536743"/>
        <n v="0.310000002384186"/>
        <n v="4.09000015258789"/>
        <n v="0.540000021457672"/>
        <n v="0.270000010728836"/>
        <n v="0.790000021457672"/>
        <n v="0.810000002384186"/>
        <n v="0.259999990463257"/>
        <n v="0.519999980926514"/>
        <n v="0.239999994635582"/>
        <n v="0.0299999993294477"/>
        <n v="0.300000011920929"/>
        <n v="0.769999980926514"/>
        <n v="0.100000001490116"/>
        <n v="0.660000026226044"/>
        <n v="0.119999997317791"/>
        <n v="1.92999994754791"/>
        <n v="1.11000001430511"/>
        <n v="0.419999986886978"/>
        <n v="1.14999997615814"/>
        <n v="0.219999998807907"/>
        <n v="0.970000028610229"/>
        <n v="1.33000004291534"/>
        <n v="1.21000003814697"/>
        <n v="1.39999997615814"/>
        <n v="0.959999978542328"/>
        <n v="0.340000003576279"/>
        <n v="0.46000000834465"/>
        <n v="0.930000007152557"/>
        <n v="0.860000014305115"/>
        <n v="0.670000016689301"/>
        <n v="0.0799999982118607"/>
        <n v="1.62999999523163"/>
        <n v="0.379999995231628"/>
        <n v="0.490000009536743"/>
        <n v="0.370000004768372"/>
        <n v="0.389999985694885"/>
        <n v="1.94000005722046"/>
        <n v="2.74000000953674"/>
        <n v="4.09999990463257"/>
        <n v="0.280000001192093"/>
        <n v="1.80999994277954"/>
        <n v="1.52999997138977"/>
        <n v="1.67999994754791"/>
        <n v="1.45000004768372"/>
        <n v="0.0199999995529652"/>
        <n v="0.230000004172325"/>
        <n v="0.180000007152557"/>
        <n v="1.4099999666214"/>
        <n v="1.03999996185303"/>
        <n v="0.800000011920929"/>
        <n v="1.02999997138977"/>
        <n v="0.0900000035762787"/>
        <n v="0.189999997615814"/>
        <n v="0.0500000007450581"/>
        <n v="0.629999995231628"/>
        <n v="2.13000011444092"/>
        <n v="1.75"/>
        <n v="4.0"/>
        <n v="2.34999990463257"/>
        <n v="3.73000001907349"/>
        <n v="2.45000004768372"/>
        <n v="4.34999990463257"/>
        <n v="4.21999979019165"/>
        <n v="4.55999994277954"/>
        <n v="0.430000007152557"/>
        <n v="0.28999999165535"/>
        <n v="1.29999995231628"/>
        <n v="2.09999990463257"/>
        <n v="1.98000001907349"/>
        <n v="6.48000001907349"/>
        <n v="1.74000000953674"/>
        <n v="4.57999992370605"/>
        <n v="4.1100001335144"/>
        <n v="2.50999999046326"/>
        <n v="4.13000011444092"/>
        <n v="5.23999977111816"/>
        <n v="5.59999990463257"/>
        <n v="5.40000009536743"/>
        <n v="0.360000014305115"/>
        <n v="0.0399999991059303"/>
        <n v="0.170000001788139"/>
        <n v="0.330000013113022"/>
        <n v="0.680000007152557"/>
        <n v="1.91999995708466"/>
        <n v="1.61000001430511"/>
        <n v="0.439999997615814"/>
        <n v="1.07000005245209"/>
        <n v="0.469999998807907"/>
        <n v="0.560000002384186"/>
        <n v="0.740000009536743"/>
        <n v="0.509999990463257"/>
        <n v="1.05999994277954"/>
        <n v="0.889999985694885"/>
        <n v="2.0"/>
        <n v="2.08999991416931"/>
        <n v="2.76999998092651"/>
        <n v="0.730000019073486"/>
        <n v="0.649999976158142"/>
        <n v="0.109999999403954"/>
        <n v="1.0"/>
        <n v="0.839999973773956"/>
        <n v="0.75"/>
        <n v="1.13999998569489"/>
        <n v="1.5"/>
        <n v="2.02999997138977"/>
        <n v="1.85000002384186"/>
        <n v="1.88999998569489"/>
        <n v="1.62000000476837"/>
        <n v="1.82000005245209"/>
        <n v="1.25"/>
        <n v="3.46000003814697"/>
        <n v="1.49000000953674"/>
        <n v="1.23000001907349"/>
        <n v="2.04999995231628"/>
        <n v="3.24000000953674"/>
        <n v="5.11999988555908"/>
        <n v="0.819999992847443"/>
        <n v="2.30999994277954"/>
        <n v="6.21000003814697"/>
        <n v="2.16000008583069"/>
        <n v="1.6599999666214"/>
        <n v="1.20000004768372"/>
        <n v="0.829999983310699"/>
        <n v="0.720000028610229"/>
        <n v="2.15000009536743"/>
        <n v="1.16999995708466"/>
        <n v="0.610000014305115"/>
        <n v="1.44000005722046"/>
        <n v="0.140000000596046"/>
        <n v="0.850000023841858"/>
        <n v="2.75"/>
        <n v="1.12999999523163"/>
        <n v="0.159999996423721"/>
        <n v="2.39000010490417"/>
        <n v="1.54999995231628"/>
        <n v="2.01999998092651"/>
        <n v="0.759999990463257"/>
        <n v="2.03999996185303"/>
        <n v="1.17999994754791"/>
        <n v="1.75999999046326"/>
        <n v="1.37000000476837"/>
        <n v="0.939999997615814"/>
        <n v="0.699999988079071"/>
        <n v="1.01999998092651"/>
        <n v="1.28999996185303"/>
        <n v="1.22000002861023"/>
        <n v="0.449999988079071"/>
        <n v="1.63999998569489"/>
        <n v="1.42999994754791"/>
        <n v="2.32999992370605"/>
        <n v="1.71000003814697"/>
        <n v="1.38999998569489"/>
        <n v="0.879999995231628"/>
        <n v="3.26999998092651"/>
        <n v="0.709999978542328"/>
        <n v="2.41000008583069"/>
        <n v="3.0"/>
        <n v="1.19000005722046"/>
        <n v="3.30999994277954"/>
        <n v="2.00999999046326"/>
        <n v="0.0700000002980232"/>
        <n v="0.00999999977648258"/>
        <n v="0.129999995231628"/>
      </sharedItems>
    </cacheField>
    <cacheField name="LightActiveDistance" numFmtId="0">
      <sharedItems containsSemiMixedTypes="0" containsString="0" containsNumber="1">
        <n v="6.05999994277954"/>
        <n v="4.71000003814697"/>
        <n v="3.91000008583069"/>
        <n v="2.82999992370605"/>
        <n v="5.03999996185303"/>
        <n v="2.50999999046326"/>
        <n v="5.03000020980835"/>
        <n v="4.23999977111816"/>
        <n v="4.65000009536743"/>
        <n v="2.24000000953674"/>
        <n v="5.3600001335144"/>
        <n v="3.27999997138977"/>
        <n v="3.94000005722046"/>
        <n v="5.53999996185303"/>
        <n v="5.40999984741211"/>
        <n v="3.78999996185303"/>
        <n v="5.57999992370605"/>
        <n v="4.26999998092651"/>
        <n v="2.92000007629395"/>
        <n v="5.92000007629395"/>
        <n v="4.88000011444092"/>
        <n v="3.8199999332428"/>
        <n v="5.80999994277954"/>
        <n v="3.13000011444092"/>
        <n v="2.73000001907349"/>
        <n v="3.74000000953674"/>
        <n v="3.25999999046326"/>
        <n v="4.55000019073486"/>
        <n v="0.0"/>
        <n v="5.30999994277954"/>
        <n v="5.90999984741211"/>
        <n v="0.970000028610229"/>
        <n v="3.49000000953674"/>
        <n v="1.49000000953674"/>
        <n v="4.61999988555908"/>
        <n v="1.89999997615814"/>
        <n v="3.23000001907349"/>
        <n v="4.1100001335144"/>
        <n v="2.59999990463257"/>
        <n v="1.88999998569489"/>
        <n v="4.19999980926514"/>
        <n v="1.83000004291534"/>
        <n v="2.46000003814697"/>
        <n v="1.60000002384186"/>
        <n v="1.54999995231628"/>
        <n v="2.11999988555908"/>
        <n v="1.9099999666214"/>
        <n v="3.47000002861023"/>
        <n v="1.3400000333786"/>
        <n v="1.41999995708466"/>
        <n v="1.58000004291534"/>
        <n v="1.12000000476837"/>
        <n v="1.37000000476837"/>
        <n v="2.22000002861023"/>
        <n v="1.12999999523163"/>
        <n v="1.91999995708466"/>
        <n v="2.03999996185303"/>
        <n v="5.32999992370605"/>
        <n v="2.64000010490417"/>
        <n v="5.09999990463257"/>
        <n v="3.45000004768372"/>
        <n v="5.09000015258789"/>
        <n v="3.54999995231628"/>
        <n v="2.45000004768372"/>
        <n v="5.30000019073486"/>
        <n v="1.75999999046326"/>
        <n v="0.879999995231628"/>
        <n v="2.66000008583069"/>
        <n v="4.25"/>
        <n v="2.41000008583069"/>
        <n v="1.95000004768372"/>
        <n v="4.69000005722046"/>
        <n v="2.20000004768372"/>
        <n v="4.30999994277954"/>
        <n v="2.30999994277954"/>
        <n v="9.46000003814697"/>
        <n v="2.34999990463257"/>
        <n v="4.53999996185303"/>
        <n v="1.6599999666214"/>
        <n v="2.13000011444092"/>
        <n v="6.01000022888184"/>
        <n v="5.67000007629395"/>
        <n v="2.08999991416931"/>
        <n v="4.96999979019165"/>
        <n v="0.949999988079071"/>
        <n v="4.42999982833862"/>
        <n v="5.23000001907349"/>
        <n v="2.53999996185303"/>
        <n v="2.25999999046326"/>
        <n v="2.58999991416931"/>
        <n v="2.55999994277954"/>
        <n v="0.129999995231628"/>
        <n v="0.00999999977648258"/>
        <n v="4.67999982833862"/>
        <n v="2.35999989509583"/>
        <n v="4.55999994277954"/>
        <n v="3.25"/>
        <n v="2.65000009536743"/>
        <n v="1.45000004768372"/>
        <n v="2.6800000667572"/>
        <n v="1.48000001907349"/>
        <n v="0.0299999993294477"/>
        <n v="0.469999998807907"/>
        <n v="0.25"/>
        <n v="1.10000002384186"/>
        <n v="0.680000007152557"/>
        <n v="0.170000001788139"/>
        <n v="0.100000001490116"/>
        <n v="1.13999998569489"/>
        <n v="0.109999999403954"/>
        <n v="1.1599999666214"/>
        <n v="0.829999983310699"/>
        <n v="0.180000007152557"/>
        <n v="1.24000000953674"/>
        <n v="1.03999996185303"/>
        <n v="4.26000022888184"/>
        <n v="4.82000017166138"/>
        <n v="5.78000020980835"/>
        <n v="3.39000010490417"/>
        <n v="6.88000011444092"/>
        <n v="6.30000019073486"/>
        <n v="5.0"/>
        <n v="5.40000009536743"/>
        <n v="4.46999979019165"/>
        <n v="4.21000003814697"/>
        <n v="4.57999992370605"/>
        <n v="4.46000003814697"/>
        <n v="5.1100001335144"/>
        <n v="5.11999988555908"/>
        <n v="5.3899998664856"/>
        <n v="5.5"/>
        <n v="10.5699996948242"/>
        <n v="4.5"/>
        <n v="4.32999992370605"/>
        <n v="4.28000020980835"/>
        <n v="4.84999990463257"/>
        <n v="4.69999980926514"/>
        <n v="4.6399998664856"/>
        <n v="3.01999998092651"/>
        <n v="5.6399998664856"/>
        <n v="5.55999994277954"/>
        <n v="3.99000000953674"/>
        <n v="4.44000005722046"/>
        <n v="3.09999990463257"/>
        <n v="2.04999995231628"/>
        <n v="2.36999988555908"/>
        <n v="0.519999980926514"/>
        <n v="2.05999994277954"/>
        <n v="1.5"/>
        <n v="4.48000001907349"/>
        <n v="1.52999997138977"/>
        <n v="1.80999994277954"/>
        <n v="7.71000003814697"/>
        <n v="2.16000008583069"/>
        <n v="3.73000001907349"/>
        <n v="3.6800000667572"/>
        <n v="3.76999998092651"/>
        <n v="3.95000004768372"/>
        <n v="2.9300000667572"/>
        <n v="2.27999997138977"/>
        <n v="4.34999990463257"/>
        <n v="3.72000002861023"/>
        <n v="4.07000017166138"/>
        <n v="7.53999996185303"/>
        <n v="5.07999992370605"/>
        <n v="6.59999990463257"/>
        <n v="0.159999996423721"/>
        <n v="5.32000017166138"/>
        <n v="5.51000022888184"/>
        <n v="4.90000009536743"/>
        <n v="3.50999999046326"/>
        <n v="3.40000009536743"/>
        <n v="4.17999982833862"/>
        <n v="4.1399998664856"/>
        <n v="3.66000008583069"/>
        <n v="4.34000015258789"/>
        <n v="3.75999999046326"/>
        <n v="3.42000007629395"/>
        <n v="2.79999995231628"/>
        <n v="1.99000000953674"/>
        <n v="2.29999995231628"/>
        <n v="1.02999997138977"/>
        <n v="0.620000004768372"/>
        <n v="3.0699999332428"/>
        <n v="1.87999999523163"/>
        <n v="3.16000008583069"/>
        <n v="0.810000002384186"/>
        <n v="3.10999989509583"/>
        <n v="3.28999996185303"/>
        <n v="2.07999992370605"/>
        <n v="1.78999996185303"/>
        <n v="3.41000008583069"/>
        <n v="5.42999982833862"/>
        <n v="5.53000020980835"/>
        <n v="4.78000020980835"/>
        <n v="3.38000011444092"/>
        <n v="7.15000009536743"/>
        <n v="6.26000022888184"/>
        <n v="4.59999990463257"/>
        <n v="3.59999990463257"/>
        <n v="5.69000005722046"/>
        <n v="4.8899998664856"/>
        <n v="4.65999984741211"/>
        <n v="5.46999979019165"/>
        <n v="4.42000007629395"/>
        <n v="4.01999998092651"/>
        <n v="1.62000000476837"/>
        <n v="4.94999980926514"/>
        <n v="5.23999977111816"/>
        <n v="2.91000008583069"/>
        <n v="2.1800000667572"/>
        <n v="3.44000005722046"/>
        <n v="4.82999992370605"/>
        <n v="4.03000020980835"/>
        <n v="4.6100001335144"/>
        <n v="0.550000011920929"/>
        <n v="5.19000005722046"/>
        <n v="5.55000019073486"/>
        <n v="4.32000017166138"/>
        <n v="5.26999998092651"/>
        <n v="5.05999994277954"/>
        <n v="4.3600001335144"/>
        <n v="3.34999990463257"/>
        <n v="2.38000011444092"/>
        <n v="2.60999989509583"/>
        <n v="3.57999992370605"/>
        <n v="4.09000015258789"/>
        <n v="3.86999988555908"/>
        <n v="3.19000005722046"/>
        <n v="6.21999979019165"/>
        <n v="2.42000007629395"/>
        <n v="2.00999999046326"/>
        <n v="2.54999995231628"/>
        <n v="2.97000002861023"/>
        <n v="3.92000007629395"/>
        <n v="3.96000003814697"/>
        <n v="4.05999994277954"/>
        <n v="3.05999994277954"/>
        <n v="3.84999990463257"/>
        <n v="2.17000007629395"/>
        <n v="2.95000004768372"/>
        <n v="3.22000002861023"/>
        <n v="2.71000003814697"/>
        <n v="4.53000020980835"/>
        <n v="2.89000010490417"/>
        <n v="2.67000007629395"/>
        <n v="3.58999991416931"/>
        <n v="3.17000007629395"/>
        <n v="3.30999994277954"/>
        <n v="5.67999982833862"/>
        <n v="0.769999980926514"/>
        <n v="0.589999973773956"/>
        <n v="0.0399999991059303"/>
        <n v="0.28999999165535"/>
        <n v="3.15000009536743"/>
        <n v="4.03999996185303"/>
        <n v="4.15000009536743"/>
        <n v="2.94000005722046"/>
        <n v="2.32999992370605"/>
        <n v="0.409999996423721"/>
        <n v="4.36999988555908"/>
        <n v="2.44000005722046"/>
        <n v="1.30999994277954"/>
        <n v="6.44000005722046"/>
        <n v="3.79999995231628"/>
        <n v="3.1800000667572"/>
        <n v="0.0199999995529652"/>
        <n v="5.98999977111816"/>
        <n v="0.349999994039536"/>
        <n v="2.15000009536743"/>
        <n v="2.47000002861023"/>
        <n v="5.92999982833862"/>
        <n v="5.15000009536743"/>
        <n v="4.90999984741211"/>
        <n v="5.94000005722046"/>
        <n v="4.11999988555908"/>
        <n v="0.839999973773956"/>
        <n v="5.71000003814697"/>
        <n v="5.84999990463257"/>
        <n v="5.44999980926514"/>
        <n v="5.46000003814697"/>
        <n v="4.07999992370605"/>
        <n v="6.25"/>
        <n v="5.69999980926514"/>
        <n v="5.17999982833862"/>
        <n v="3.88000011444092"/>
        <n v="5.61999988555908"/>
        <n v="6.73000001907349"/>
        <n v="4.44999980926514"/>
        <n v="5.1399998664856"/>
        <n v="5.76999998092651"/>
        <n v="5.28999996185303"/>
        <n v="6.98000001907349"/>
        <n v="4.92000007629395"/>
        <n v="5.34999990463257"/>
        <n v="7.84000015258789"/>
        <n v="6.03000020980835"/>
        <n v="5.42000007629395"/>
        <n v="6.94000005722046"/>
        <n v="6.19999980926514"/>
        <n v="7.88000011444092"/>
        <n v="5.80000019073486"/>
        <n v="6.78999996185303"/>
        <n v="6.46000003814697"/>
        <n v="6.53000020980835"/>
        <n v="1.51999998092651"/>
        <n v="1.38999998569489"/>
        <n v="3.35999989509583"/>
        <n v="2.26999998092651"/>
        <n v="1.96000003814697"/>
        <n v="3.00999999046326"/>
        <n v="2.57999992370605"/>
        <n v="3.02999997138977"/>
        <n v="1.25"/>
        <n v="3.53999996185303"/>
        <n v="2.63000011444092"/>
        <n v="2.85999989509583"/>
        <n v="1.61000001430511"/>
        <n v="4.48999977111816"/>
        <n v="3.5"/>
        <n v="4.0"/>
        <n v="7.69999980926514"/>
        <n v="4.01000022888184"/>
        <n v="5.65000009536743"/>
        <n v="4.51000022888184"/>
        <n v="3.46000003814697"/>
        <n v="5.94999980926514"/>
        <n v="5.21999979019165"/>
        <n v="2.48000001907349"/>
        <n v="2.01999998092651"/>
        <n v="5.51999998092651"/>
        <n v="2.39000010490417"/>
        <n v="4.17000007629395"/>
        <n v="6.36999988555908"/>
        <n v="4.78999996185303"/>
        <n v="5.88000011444092"/>
        <n v="4.19000005722046"/>
        <n v="5.73000001907349"/>
        <n v="1.35000002384186"/>
        <n v="8.27000045776367"/>
        <n v="6.1100001335144"/>
        <n v="6.07000017166138"/>
        <n v="7.67000007629395"/>
        <n v="6.09000015258789"/>
        <n v="4.86999988555908"/>
        <n v="8.97000026702881"/>
        <n v="6.09999990463257"/>
        <n v="6.65000009536743"/>
        <n v="4.98000001907349"/>
        <n v="2.23000001907349"/>
        <n v="4.67000007629395"/>
        <n v="0.430000007152557"/>
        <n v="2.4300000667572"/>
        <n v="1.76999998092651"/>
        <n v="2.96000003814697"/>
        <n v="5.59999990463257"/>
        <n v="1.17999994754791"/>
        <n v="3.69000005722046"/>
        <n v="4.73999977111816"/>
        <n v="0.779999971389771"/>
        <n v="3.36999988555908"/>
        <n v="2.76999998092651"/>
        <n v="4.23000001907349"/>
        <n v="1.22000002861023"/>
        <n v="3.29999995231628"/>
        <n v="5.19999980926514"/>
        <n v="1.05999994277954"/>
        <n v="2.09999990463257"/>
        <n v="2.77999997138977"/>
        <n v="3.55999994277954"/>
        <n v="2.3199999332428"/>
        <n v="1.82000005245209"/>
        <n v="1.98000001907349"/>
        <n v="2.75999999046326"/>
        <n v="3.24000000953674"/>
        <n v="3.5699999332428"/>
        <n v="0.990000009536743"/>
        <n v="0.889999985694885"/>
        <n v="10.3000001907349"/>
        <n v="9.47999954223633"/>
        <n v="3.89000010490417"/>
        <n v="8.40999984741211"/>
        <n v="8.68000030517578"/>
        <n v="5.76000022888184"/>
        <n v="6.86999988555908"/>
        <n v="7.1100001335144"/>
        <n v="7.23999977111816"/>
        <n v="5.28000020980835"/>
        <n v="7.40000009536743"/>
        <n v="7.17000007629395"/>
        <n v="6.26999998092651"/>
        <n v="4.80000019073486"/>
        <n v="4.71999979019165"/>
        <n v="4.57000017166138"/>
        <n v="4.40000009536743"/>
        <n v="4.59000015258789"/>
        <n v="4.15999984741211"/>
        <n v="5.82000017166138"/>
        <n v="4.73000001907349"/>
        <n v="1.97000002861023"/>
        <n v="0.920000016689301"/>
        <n v="0.0599999986588955"/>
        <n v="0.310000002384186"/>
        <n v="0.46000000834465"/>
        <n v="0.150000005960464"/>
        <n v="0.730000019073486"/>
        <n v="0.239999994635582"/>
        <n v="1.92999994754791"/>
        <n v="1.04999995231628"/>
        <n v="2.86999988555908"/>
        <n v="7.03999996185303"/>
        <n v="3.3199999332428"/>
        <n v="3.90000009536743"/>
        <n v="5.59000015258789"/>
        <n v="3.67000007629395"/>
        <n v="3.60999989509583"/>
        <n v="5.34000015258789"/>
        <n v="4.80999994277954"/>
        <n v="2.25"/>
        <n v="3.65000009536743"/>
        <n v="4.98999977111816"/>
        <n v="2.10999989509583"/>
        <n v="4.96000003814697"/>
        <n v="3.52999997138977"/>
        <n v="5.05000019073486"/>
        <n v="5.8600001335144"/>
        <n v="5.17000007629395"/>
        <n v="7.42000007629395"/>
        <n v="8.22999954223633"/>
        <n v="8.26000022888184"/>
        <n v="7.94999980926514"/>
        <n v="2.51999998092651"/>
        <n v="3.75"/>
        <n v="3.82999992370605"/>
        <n v="5.48000001907349"/>
        <n v="3.85999989509583"/>
        <n v="2.83999991416931"/>
        <n v="2.52999997138977"/>
        <n v="1.79999995231628"/>
        <n v="2.90000009536743"/>
        <n v="3.11999988555908"/>
        <n v="3.64000010490417"/>
        <n v="0.850000023841858"/>
        <n v="1.42999994754791"/>
        <n v="2.21000003814697"/>
        <n v="1.21000003814697"/>
        <n v="2.69000005722046"/>
        <n v="1.85000002384186"/>
        <n v="3.03999996185303"/>
        <n v="0.759999990463257"/>
        <n v="1.5900000333786"/>
        <n v="0.540000021457672"/>
        <n v="1.75"/>
        <n v="1.87000000476837"/>
        <n v="1.70000004768372"/>
        <n v="0.340000003576279"/>
        <n v="2.40000009536743"/>
        <n v="1.69000005722046"/>
        <n v="4.28999996185303"/>
        <n v="2.33999991416931"/>
        <n v="5.73999977111816"/>
        <n v="3.77999997138977"/>
        <n v="0.899999976158142"/>
        <n v="4.75"/>
        <n v="6.42999982833862"/>
        <n v="4.76999998092651"/>
        <n v="1.73000001907349"/>
        <n v="1.63999998569489"/>
        <n v="1.74000000953674"/>
        <n v="0.0900000035762787"/>
        <n v="2.75"/>
        <n v="4.92999982833862"/>
        <n v="1.16999995708466"/>
        <n v="1.46000003814697"/>
        <n v="7.82000017166138"/>
        <n v="7.75"/>
        <n v="7.01000022888184"/>
        <n v="10.710000038147"/>
        <n v="8.78999996185303"/>
        <n v="6.34000015258789"/>
        <n v="5.96999979019165"/>
        <n v="6.5"/>
        <n v="7.09999990463257"/>
        <n v="5.78999996185303"/>
        <n v="6.67000007629395"/>
        <n v="6.15999984741211"/>
        <n v="6.98999977111816"/>
        <n v="6.80000019073486"/>
        <n v="6.23999977111816"/>
        <n v="6.28000020980835"/>
        <n v="5.8899998664856"/>
      </sharedItems>
    </cacheField>
    <cacheField name="SedentaryActiveDistance" numFmtId="0">
      <sharedItems containsSemiMixedTypes="0" containsString="0" containsNumber="1">
        <n v="0.0"/>
        <n v="0.00999999977648258"/>
        <n v="0.0199999995529652"/>
        <n v="0.0299999993294477"/>
        <n v="0.0500000007450581"/>
        <n v="0.0700000002980232"/>
        <n v="0.0399999991059303"/>
        <n v="0.109999999403954"/>
        <n v="0.100000001490116"/>
      </sharedItems>
    </cacheField>
    <cacheField name="VeryActiveMinutes" numFmtId="0">
      <sharedItems containsSemiMixedTypes="0" containsString="0" containsNumber="1" containsInteger="1">
        <n v="25.0"/>
        <n v="21.0"/>
        <n v="30.0"/>
        <n v="29.0"/>
        <n v="36.0"/>
        <n v="38.0"/>
        <n v="42.0"/>
        <n v="50.0"/>
        <n v="28.0"/>
        <n v="19.0"/>
        <n v="66.0"/>
        <n v="41.0"/>
        <n v="39.0"/>
        <n v="73.0"/>
        <n v="31.0"/>
        <n v="78.0"/>
        <n v="48.0"/>
        <n v="16.0"/>
        <n v="52.0"/>
        <n v="33.0"/>
        <n v="45.0"/>
        <n v="24.0"/>
        <n v="37.0"/>
        <n v="44.0"/>
        <n v="46.0"/>
        <n v="0.0"/>
        <n v="15.0"/>
        <n v="17.0"/>
        <n v="11.0"/>
        <n v="186.0"/>
        <n v="7.0"/>
        <n v="2.0"/>
        <n v="5.0"/>
        <n v="3.0"/>
        <n v="51.0"/>
        <n v="8.0"/>
        <n v="9.0"/>
        <n v="1.0"/>
        <n v="10.0"/>
        <n v="6.0"/>
        <n v="32.0"/>
        <n v="12.0"/>
        <n v="14.0"/>
        <n v="43.0"/>
        <n v="27.0"/>
        <n v="104.0"/>
        <n v="55.0"/>
        <n v="13.0"/>
        <n v="72.0"/>
        <n v="20.0"/>
        <n v="35.0"/>
        <n v="57.0"/>
        <n v="58.0"/>
        <n v="23.0"/>
        <n v="26.0"/>
        <n v="47.0"/>
        <n v="22.0"/>
        <n v="75.0"/>
        <n v="18.0"/>
        <n v="4.0"/>
        <n v="65.0"/>
        <n v="77.0"/>
        <n v="120.0"/>
        <n v="107.0"/>
        <n v="34.0"/>
        <n v="61.0"/>
        <n v="69.0"/>
        <n v="40.0"/>
        <n v="49.0"/>
        <n v="59.0"/>
        <n v="86.0"/>
        <n v="118.0"/>
        <n v="115.0"/>
        <n v="184.0"/>
        <n v="200.0"/>
        <n v="114.0"/>
        <n v="108.0"/>
        <n v="87.0"/>
        <n v="110.0"/>
        <n v="62.0"/>
        <n v="210.0"/>
        <n v="63.0"/>
        <n v="99.0"/>
        <n v="97.0"/>
        <n v="207.0"/>
        <n v="194.0"/>
        <n v="70.0"/>
        <n v="53.0"/>
        <n v="56.0"/>
        <n v="60.0"/>
        <n v="64.0"/>
        <n v="67.0"/>
        <n v="54.0"/>
        <n v="84.0"/>
        <n v="116.0"/>
        <n v="95.0"/>
        <n v="119.0"/>
        <n v="132.0"/>
        <n v="96.0"/>
        <n v="111.0"/>
        <n v="102.0"/>
        <n v="90.0"/>
        <n v="89.0"/>
        <n v="100.0"/>
        <n v="125.0"/>
        <n v="129.0"/>
        <n v="68.0"/>
        <n v="93.0"/>
        <n v="121.0"/>
        <n v="123.0"/>
        <n v="117.0"/>
        <n v="82.0"/>
        <n v="137.0"/>
        <n v="113.0"/>
        <n v="71.0"/>
        <n v="74.0"/>
        <n v="85.0"/>
        <n v="106.0"/>
        <n v="94.0"/>
        <n v="124.0"/>
        <n v="105.0"/>
        <n v="88.0"/>
      </sharedItems>
    </cacheField>
    <cacheField name="FairlyActiveMinutes" numFmtId="0">
      <sharedItems containsSemiMixedTypes="0" containsString="0" containsNumber="1" containsInteger="1">
        <n v="13.0"/>
        <n v="19.0"/>
        <n v="11.0"/>
        <n v="34.0"/>
        <n v="10.0"/>
        <n v="20.0"/>
        <n v="16.0"/>
        <n v="31.0"/>
        <n v="12.0"/>
        <n v="8.0"/>
        <n v="27.0"/>
        <n v="21.0"/>
        <n v="5.0"/>
        <n v="14.0"/>
        <n v="23.0"/>
        <n v="28.0"/>
        <n v="35.0"/>
        <n v="15.0"/>
        <n v="24.0"/>
        <n v="22.0"/>
        <n v="6.0"/>
        <n v="46.0"/>
        <n v="0.0"/>
        <n v="7.0"/>
        <n v="18.0"/>
        <n v="36.0"/>
        <n v="63.0"/>
        <n v="51.0"/>
        <n v="58.0"/>
        <n v="4.0"/>
        <n v="42.0"/>
        <n v="33.0"/>
        <n v="1.0"/>
        <n v="41.0"/>
        <n v="53.0"/>
        <n v="71.0"/>
        <n v="94.0"/>
        <n v="17.0"/>
        <n v="9.0"/>
        <n v="3.0"/>
        <n v="29.0"/>
        <n v="26.0"/>
        <n v="40.0"/>
        <n v="2.0"/>
        <n v="47.0"/>
        <n v="25.0"/>
        <n v="32.0"/>
        <n v="48.0"/>
        <n v="72.0"/>
        <n v="43.0"/>
        <n v="83.0"/>
        <n v="95.0"/>
        <n v="67.0"/>
        <n v="98.0"/>
        <n v="92.0"/>
        <n v="52.0"/>
        <n v="143.0"/>
        <n v="96.0"/>
        <n v="88.0"/>
        <n v="55.0"/>
        <n v="86.0"/>
        <n v="116.0"/>
        <n v="122.0"/>
        <n v="115.0"/>
        <n v="38.0"/>
        <n v="39.0"/>
        <n v="45.0"/>
        <n v="56.0"/>
        <n v="30.0"/>
        <n v="66.0"/>
        <n v="125.0"/>
        <n v="37.0"/>
        <n v="54.0"/>
        <n v="74.0"/>
        <n v="65.0"/>
        <n v="113.0"/>
        <n v="50.0"/>
        <n v="69.0"/>
        <n v="59.0"/>
        <n v="44.0"/>
        <n v="91.0"/>
      </sharedItems>
    </cacheField>
    <cacheField name="LightlyActiveMinutes" numFmtId="0">
      <sharedItems containsSemiMixedTypes="0" containsString="0" containsNumber="1" containsInteger="1">
        <n v="328.0"/>
        <n v="217.0"/>
        <n v="181.0"/>
        <n v="209.0"/>
        <n v="221.0"/>
        <n v="164.0"/>
        <n v="233.0"/>
        <n v="264.0"/>
        <n v="205.0"/>
        <n v="211.0"/>
        <n v="130.0"/>
        <n v="262.0"/>
        <n v="238.0"/>
        <n v="216.0"/>
        <n v="279.0"/>
        <n v="243.0"/>
        <n v="189.0"/>
        <n v="246.0"/>
        <n v="277.0"/>
        <n v="254.0"/>
        <n v="203.0"/>
        <n v="250.0"/>
        <n v="289.0"/>
        <n v="175.0"/>
        <n v="206.0"/>
        <n v="214.0"/>
        <n v="251.0"/>
        <n v="0.0"/>
        <n v="146.0"/>
        <n v="148.0"/>
        <n v="236.0"/>
        <n v="96.0"/>
        <n v="176.0"/>
        <n v="127.0"/>
        <n v="202.0"/>
        <n v="141.0"/>
        <n v="151.0"/>
        <n v="186.0"/>
        <n v="199.0"/>
        <n v="227.0"/>
        <n v="185.0"/>
        <n v="140.0"/>
        <n v="154.0"/>
        <n v="115.0"/>
        <n v="150.0"/>
        <n v="224.0"/>
        <n v="171.0"/>
        <n v="166.0"/>
        <n v="118.0"/>
        <n v="117.0"/>
        <n v="102.0"/>
        <n v="182.0"/>
        <n v="152.0"/>
        <n v="91.0"/>
        <n v="139.0"/>
        <n v="112.0"/>
        <n v="107.0"/>
        <n v="256.0"/>
        <n v="135.0"/>
        <n v="252.0"/>
        <n v="170.0"/>
        <n v="212.0"/>
        <n v="121.0"/>
        <n v="278.0"/>
        <n v="125.0"/>
        <n v="38.0"/>
        <n v="86.0"/>
        <n v="160.0"/>
        <n v="89.0"/>
        <n v="94.0"/>
        <n v="223.0"/>
        <n v="120.0"/>
        <n v="402.0"/>
        <n v="52.0"/>
        <n v="81.0"/>
        <n v="369.0"/>
        <n v="295.0"/>
        <n v="303.0"/>
        <n v="155.0"/>
        <n v="49.0"/>
        <n v="339.0"/>
        <n v="248.0"/>
        <n v="373.0"/>
        <n v="147.0"/>
        <n v="10.0"/>
        <n v="1.0"/>
        <n v="308.0"/>
        <n v="220.0"/>
        <n v="302.0"/>
        <n v="247.0"/>
        <n v="184.0"/>
        <n v="75.0"/>
        <n v="87.0"/>
        <n v="2.0"/>
        <n v="55.0"/>
        <n v="32.0"/>
        <n v="88.0"/>
        <n v="51.0"/>
        <n v="17.0"/>
        <n v="145.0"/>
        <n v="12.0"/>
        <n v="192.0"/>
        <n v="95.0"/>
        <n v="70.0"/>
        <n v="108.0"/>
        <n v="48.0"/>
        <n v="292.0"/>
        <n v="257.0"/>
        <n v="282.0"/>
        <n v="331.0"/>
        <n v="311.0"/>
        <n v="276.0"/>
        <n v="255.0"/>
        <n v="273.0"/>
        <n v="249.0"/>
        <n v="275.0"/>
        <n v="291.0"/>
        <n v="281.0"/>
        <n v="361.0"/>
        <n v="245.0"/>
        <n v="272.0"/>
        <n v="253.0"/>
        <n v="149.0"/>
        <n v="297.0"/>
        <n v="271.0"/>
        <n v="197.0"/>
        <n v="188.0"/>
        <n v="60.0"/>
        <n v="327.0"/>
        <n v="153.0"/>
        <n v="162.0"/>
        <n v="432.0"/>
        <n v="260.0"/>
        <n v="288.0"/>
        <n v="286.0"/>
        <n v="352.0"/>
        <n v="191.0"/>
        <n v="355.0"/>
        <n v="304.0"/>
        <n v="345.0"/>
        <n v="475.0"/>
        <n v="383.0"/>
        <n v="229.0"/>
        <n v="258.0"/>
        <n v="401.0"/>
        <n v="330.0"/>
        <n v="343.0"/>
        <n v="306.0"/>
        <n v="335.0"/>
        <n v="195.0"/>
        <n v="228.0"/>
        <n v="283.0"/>
        <n v="266.0"/>
        <n v="242.0"/>
        <n v="204.0"/>
        <n v="82.0"/>
        <n v="76.0"/>
        <n v="45.0"/>
        <n v="234.0"/>
        <n v="40.0"/>
        <n v="123.0"/>
        <n v="319.0"/>
        <n v="290.0"/>
        <n v="300.0"/>
        <n v="128.0"/>
        <n v="320.0"/>
        <n v="284.0"/>
        <n v="268.0"/>
        <n v="382.0"/>
        <n v="269.0"/>
        <n v="208.0"/>
        <n v="360.0"/>
        <n v="4.0"/>
        <n v="356.0"/>
        <n v="404.0"/>
        <n v="448.0"/>
        <n v="305.0"/>
        <n v="389.0"/>
        <n v="378.0"/>
        <n v="371.0"/>
        <n v="366.0"/>
        <n v="190.0"/>
        <n v="359.0"/>
        <n v="309.0"/>
        <n v="213.0"/>
        <n v="196.0"/>
        <n v="334.0"/>
        <n v="363.0"/>
        <n v="420.0"/>
        <n v="370.0"/>
        <n v="326.0"/>
        <n v="280.0"/>
        <n v="322.0"/>
        <n v="376.0"/>
        <n v="274.0"/>
        <n v="416.0"/>
        <n v="333.0"/>
        <n v="346.0"/>
        <n v="385.0"/>
        <n v="172.0"/>
        <n v="131.0"/>
        <n v="183.0"/>
        <n v="129.0"/>
        <n v="133.0"/>
        <n v="194.0"/>
        <n v="124.0"/>
        <n v="142.0"/>
        <n v="178.0"/>
        <n v="168.0"/>
        <n v="9.0"/>
        <n v="3.0"/>
        <n v="31.0"/>
        <n v="174.0"/>
        <n v="177.0"/>
        <n v="263.0"/>
        <n v="173.0"/>
        <n v="134.0"/>
        <n v="21.0"/>
        <n v="58.0"/>
        <n v="34.0"/>
        <n v="390.0"/>
        <n v="67.0"/>
        <n v="344.0"/>
        <n v="287.0"/>
        <n v="313.0"/>
        <n v="314.0"/>
        <n v="374.0"/>
        <n v="329.0"/>
        <n v="219.0"/>
        <n v="299.0"/>
        <n v="201.0"/>
        <n v="239.0"/>
        <n v="215.0"/>
        <n v="301.0"/>
        <n v="241.0"/>
        <n v="267.0"/>
        <n v="231.0"/>
        <n v="350.0"/>
        <n v="225.0"/>
        <n v="114.0"/>
        <n v="137.0"/>
        <n v="317.0"/>
        <n v="244.0"/>
        <n v="179.0"/>
        <n v="180.0"/>
        <n v="226.0"/>
        <n v="240.0"/>
        <n v="200.0"/>
        <n v="232.0"/>
        <n v="318.0"/>
        <n v="222.0"/>
        <n v="395.0"/>
        <n v="340.0"/>
        <n v="312.0"/>
        <n v="367.0"/>
        <n v="293.0"/>
        <n v="237.0"/>
        <n v="324.0"/>
        <n v="144.0"/>
        <n v="72.0"/>
        <n v="408.0"/>
        <n v="270.0"/>
        <n v="207.0"/>
        <n v="439.0"/>
        <n v="235.0"/>
        <n v="68.0"/>
        <n v="46.0"/>
        <n v="104.0"/>
        <n v="165.0"/>
        <n v="84.0"/>
        <n v="210.0"/>
        <n v="265.0"/>
        <n v="158.0"/>
        <n v="159.0"/>
        <n v="111.0"/>
        <n v="113.0"/>
        <n v="163.0"/>
        <n v="143.0"/>
        <n v="79.0"/>
        <n v="63.0"/>
        <n v="513.0"/>
        <n v="518.0"/>
        <n v="480.0"/>
        <n v="349.0"/>
        <n v="294.0"/>
        <n v="512.0"/>
        <n v="362.0"/>
        <n v="458.0"/>
        <n v="461.0"/>
        <n v="397.0"/>
        <n v="156.0"/>
        <n v="487.0"/>
        <n v="412.0"/>
        <n v="321.0"/>
        <n v="85.0"/>
        <n v="105.0"/>
        <n v="19.0"/>
        <n v="20.0"/>
        <n v="11.0"/>
        <n v="92.0"/>
        <n v="47.0"/>
        <n v="15.0"/>
        <n v="50.0"/>
        <n v="347.0"/>
        <n v="261.0"/>
        <n v="419.0"/>
        <n v="379.0"/>
        <n v="424.0"/>
        <n v="337.0"/>
        <n v="90.0"/>
        <n v="132.0"/>
        <n v="161.0"/>
        <n v="106.0"/>
        <n v="193.0"/>
        <n v="83.0"/>
        <n v="39.0"/>
        <n v="33.0"/>
        <n v="157.0"/>
        <n v="136.0"/>
        <n v="169.0"/>
        <n v="93.0"/>
        <n v="167.0"/>
        <n v="65.0"/>
        <n v="122.0"/>
        <n v="110.0"/>
        <n v="116.0"/>
        <n v="126.0"/>
        <n v="80.0"/>
        <n v="310.0"/>
        <n v="380.0"/>
        <n v="101.0"/>
        <n v="298.0"/>
        <n v="429.0"/>
        <n v="307.0"/>
        <n v="218.0"/>
      </sharedItems>
    </cacheField>
    <cacheField name="SedentaryMinutes" numFmtId="0">
      <sharedItems containsSemiMixedTypes="0" containsString="0" containsNumber="1" containsInteger="1">
        <n v="728.0"/>
        <n v="776.0"/>
        <n v="1218.0"/>
        <n v="726.0"/>
        <n v="773.0"/>
        <n v="539.0"/>
        <n v="1149.0"/>
        <n v="775.0"/>
        <n v="818.0"/>
        <n v="838.0"/>
        <n v="1217.0"/>
        <n v="732.0"/>
        <n v="709.0"/>
        <n v="814.0"/>
        <n v="833.0"/>
        <n v="1108.0"/>
        <n v="782.0"/>
        <n v="815.0"/>
        <n v="712.0"/>
        <n v="730.0"/>
        <n v="798.0"/>
        <n v="816.0"/>
        <n v="1179.0"/>
        <n v="857.0"/>
        <n v="754.0"/>
        <n v="574.0"/>
        <n v="835.0"/>
        <n v="746.0"/>
        <n v="669.0"/>
        <n v="1440.0"/>
        <n v="1294.0"/>
        <n v="1292.0"/>
        <n v="1204.0"/>
        <n v="1344.0"/>
        <n v="1264.0"/>
        <n v="1276.0"/>
        <n v="1214.0"/>
        <n v="1299.0"/>
        <n v="1289.0"/>
        <n v="1254.0"/>
        <n v="1241.0"/>
        <n v="1213.0"/>
        <n v="1221.0"/>
        <n v="1238.0"/>
        <n v="1300.0"/>
        <n v="1233.0"/>
        <n v="1320.0"/>
        <n v="1290.0"/>
        <n v="1182.0"/>
        <n v="1020.0"/>
        <n v="1261.0"/>
        <n v="1322.0"/>
        <n v="1323.0"/>
        <n v="1338.0"/>
        <n v="1258.0"/>
        <n v="1288.0"/>
        <n v="1349.0"/>
        <n v="1301.0"/>
        <n v="1328.0"/>
        <n v="890.0"/>
        <n v="1131.0"/>
        <n v="1259.0"/>
        <n v="1125.0"/>
        <n v="1263.0"/>
        <n v="1135.0"/>
        <n v="1212.0"/>
        <n v="1271.0"/>
        <n v="1099.0"/>
        <n v="1315.0"/>
        <n v="1402.0"/>
        <n v="1354.0"/>
        <n v="1265.0"/>
        <n v="1351.0"/>
        <n v="1337.0"/>
        <n v="1165.0"/>
        <n v="1157.0"/>
        <n v="1193.0"/>
        <n v="908.0"/>
        <n v="682.0"/>
        <n v="1115.0"/>
        <n v="1388.0"/>
        <n v="1341.0"/>
        <n v="1054.0"/>
        <n v="1139.0"/>
        <n v="991.0"/>
        <n v="713.0"/>
        <n v="1101.0"/>
        <n v="1192.0"/>
        <n v="843.0"/>
        <n v="527.0"/>
        <n v="1293.0"/>
        <n v="1231.0"/>
        <n v="1211.0"/>
        <n v="1430.0"/>
        <n v="1439.0"/>
        <n v="1117.0"/>
        <n v="1220.0"/>
        <n v="1138.0"/>
        <n v="1082.0"/>
        <n v="218.0"/>
        <n v="585.0"/>
        <n v="1256.0"/>
        <n v="1353.0"/>
        <n v="1438.0"/>
        <n v="711.0"/>
        <n v="734.0"/>
        <n v="986.0"/>
        <n v="941.0"/>
        <n v="1423.0"/>
        <n v="1295.0"/>
        <n v="1358.0"/>
        <n v="1303.0"/>
        <n v="1058.0"/>
        <n v="1167.0"/>
        <n v="1355.0"/>
        <n v="1413.0"/>
        <n v="1332.0"/>
        <n v="1392.0"/>
        <n v="966.0"/>
        <n v="1100.0"/>
        <n v="1148.0"/>
        <n v="1122.0"/>
        <n v="1237.0"/>
        <n v="1052.0"/>
        <n v="1078.0"/>
        <n v="1152.0"/>
        <n v="1053.0"/>
        <n v="1028.0"/>
        <n v="1105.0"/>
        <n v="1191.0"/>
        <n v="1161.0"/>
        <n v="1171.0"/>
        <n v="1086.0"/>
        <n v="1119.0"/>
        <n v="1123.0"/>
        <n v="1098.0"/>
        <n v="1043.0"/>
        <n v="1142.0"/>
        <n v="1104.0"/>
        <n v="1112.0"/>
        <n v="1269.0"/>
        <n v="1305.0"/>
        <n v="1061.0"/>
        <n v="1084.0"/>
        <n v="1133.0"/>
        <n v="706.0"/>
        <n v="663.0"/>
        <n v="653.0"/>
        <n v="687.0"/>
        <n v="1062.0"/>
        <n v="785.0"/>
        <n v="623.0"/>
        <n v="749.0"/>
        <n v="458.0"/>
        <n v="704.0"/>
        <n v="821.0"/>
        <n v="1018.0"/>
        <n v="586.0"/>
        <n v="626.0"/>
        <n v="492.0"/>
        <n v="594.0"/>
        <n v="716.0"/>
        <n v="981.0"/>
        <n v="530.0"/>
        <n v="479.0"/>
        <n v="511.0"/>
        <n v="665.0"/>
        <n v="610.0"/>
        <n v="543.0"/>
        <n v="1002.0"/>
        <n v="569.0"/>
        <n v="330.0"/>
        <n v="1249.0"/>
        <n v="1195.0"/>
        <n v="1245.0"/>
        <n v="1173.0"/>
        <n v="1201.0"/>
        <n v="1146.0"/>
        <n v="1302.0"/>
        <n v="1174.0"/>
        <n v="1129.0"/>
        <n v="1236.0"/>
        <n v="1280.0"/>
        <n v="1364.0"/>
        <n v="1395.0"/>
        <n v="1206.0"/>
        <n v="1400.0"/>
        <n v="1306.0"/>
        <n v="1121.0"/>
        <n v="1150.0"/>
        <n v="1140.0"/>
        <n v="830.0"/>
        <n v="964.0"/>
        <n v="676.0"/>
        <n v="705.0"/>
        <n v="720.0"/>
        <n v="968.0"/>
        <n v="508.0"/>
        <n v="678.0"/>
        <n v="648.0"/>
        <n v="1011.0"/>
        <n v="761.0"/>
        <n v="781.0"/>
        <n v="591.0"/>
        <n v="584.0"/>
        <n v="764.0"/>
        <n v="2.0"/>
        <n v="1109.0"/>
        <n v="992.0"/>
        <n v="1087.0"/>
        <n v="1272.0"/>
        <n v="1051.0"/>
        <n v="1035.0"/>
        <n v="1057.0"/>
        <n v="1077.0"/>
        <n v="1203.0"/>
        <n v="1081.0"/>
        <n v="1124.0"/>
        <n v="1197.0"/>
        <n v="1219.0"/>
        <n v="1070.0"/>
        <n v="1093.0"/>
        <n v="1065.0"/>
        <n v="1068.0"/>
        <n v="1095.0"/>
        <n v="1067.0"/>
        <n v="1160.0"/>
        <n v="1045.0"/>
        <n v="1039.0"/>
        <n v="1064.0"/>
        <n v="1037.0"/>
        <n v="1234.0"/>
        <n v="1127.0"/>
        <n v="1024.0"/>
        <n v="1083.0"/>
        <n v="1055.0"/>
        <n v="1038.0"/>
        <n v="842.0"/>
        <n v="777.0"/>
        <n v="801.0"/>
        <n v="644.0"/>
        <n v="600.0"/>
        <n v="605.0"/>
        <n v="738.0"/>
        <n v="845.0"/>
        <n v="731.0"/>
        <n v="724.0"/>
        <n v="660.0"/>
        <n v="797.0"/>
        <n v="714.0"/>
        <n v="804.0"/>
        <n v="744.0"/>
        <n v="691.0"/>
        <n v="852.0"/>
        <n v="680.0"/>
        <n v="703.0"/>
        <n v="688.0"/>
        <n v="1159.0"/>
        <n v="13.0"/>
        <n v="1437.0"/>
        <n v="1222.0"/>
        <n v="1350.0"/>
        <n v="950.0"/>
        <n v="531.0"/>
        <n v="916.0"/>
        <n v="855.0"/>
        <n v="1225.0"/>
        <n v="774.0"/>
        <n v="1296.0"/>
        <n v="721.0"/>
        <n v="873.0"/>
        <n v="589.0"/>
        <n v="752.0"/>
        <n v="1363.0"/>
        <n v="824.0"/>
        <n v="604.0"/>
        <n v="671.0"/>
        <n v="546.0"/>
        <n v="692.0"/>
        <n v="544.0"/>
        <n v="649.0"/>
        <n v="552.0"/>
        <n v="624.0"/>
        <n v="695.0"/>
        <n v="836.0"/>
        <n v="1106.0"/>
        <n v="957.0"/>
        <n v="603.0"/>
        <n v="490.0"/>
        <n v="555.0"/>
        <n v="0.0"/>
        <n v="1275.0"/>
        <n v="945.0"/>
        <n v="837.0"/>
        <n v="609.0"/>
        <n v="1017.0"/>
        <n v="696.0"/>
        <n v="853.0"/>
        <n v="673.0"/>
        <n v="684.0"/>
        <n v="878.0"/>
        <n v="1175.0"/>
        <n v="537.0"/>
        <n v="579.0"/>
        <n v="935.0"/>
        <n v="984.0"/>
        <n v="632.0"/>
        <n v="896.0"/>
        <n v="576.0"/>
        <n v="858.0"/>
        <n v="825.0"/>
        <n v="787.0"/>
        <n v="840.0"/>
        <n v="717.0"/>
        <n v="1247.0"/>
        <n v="895.0"/>
        <n v="841.0"/>
        <n v="756.0"/>
        <n v="1239.0"/>
        <n v="1196.0"/>
        <n v="839.0"/>
        <n v="762.0"/>
        <n v="741.0"/>
        <n v="667.0"/>
        <n v="725.0"/>
        <n v="897.0"/>
        <n v="809.0"/>
        <n v="866.0"/>
        <n v="733.0"/>
        <n v="641.0"/>
        <n v="783.0"/>
        <n v="622.0"/>
        <n v="380.0"/>
        <n v="1287.0"/>
        <n v="1110.0"/>
        <n v="1080.0"/>
        <n v="844.0"/>
        <n v="993.0"/>
        <n v="985.0"/>
        <n v="1096.0"/>
        <n v="1111.0"/>
        <n v="1172.0"/>
        <n v="1188.0"/>
        <n v="1048.0"/>
        <n v="1116.0"/>
        <n v="1019.0"/>
        <n v="736.0"/>
        <n v="718.0"/>
        <n v="772.0"/>
        <n v="944.0"/>
        <n v="556.0"/>
        <n v="437.0"/>
        <n v="757.0"/>
        <n v="901.0"/>
        <n v="469.0"/>
        <n v="542.0"/>
        <n v="765.0"/>
        <n v="729.0"/>
        <n v="745.0"/>
        <n v="577.0"/>
        <n v="701.0"/>
        <n v="784.0"/>
        <n v="241.0"/>
        <n v="767.0"/>
        <n v="647.0"/>
        <n v="693.0"/>
        <n v="689.0"/>
        <n v="521.0"/>
        <n v="943.0"/>
        <n v="598.0"/>
        <n v="443.0"/>
        <n v="582.0"/>
        <n v="750.0"/>
        <n v="727.0"/>
        <n v="506.0"/>
        <n v="436.0"/>
        <n v="812.0"/>
        <n v="651.0"/>
        <n v="902.0"/>
        <n v="505.0"/>
        <n v="707.0"/>
        <n v="628.0"/>
        <n v="222.0"/>
        <n v="662.0"/>
        <n v="472.0"/>
        <n v="525.0"/>
        <n v="670.0"/>
        <n v="823.0"/>
        <n v="627.0"/>
        <n v="425.0"/>
        <n v="743.0"/>
        <n v="759.0"/>
        <n v="739.0"/>
        <n v="621.0"/>
        <n v="499.0"/>
        <n v="580.0"/>
        <n v="631.0"/>
        <n v="1153.0"/>
        <n v="1304.0"/>
        <n v="639.0"/>
        <n v="257.0"/>
        <n v="921.0"/>
        <n v="502.0"/>
        <n v="702.0"/>
        <n v="587.0"/>
        <n v="413.0"/>
        <n v="468.0"/>
        <n v="417.0"/>
        <n v="758.0"/>
        <n v="1040.0"/>
        <n v="1279.0"/>
        <n v="456.0"/>
        <n v="517.0"/>
        <n v="125.0"/>
        <n v="1090.0"/>
        <n v="1169.0"/>
        <n v="1407.0"/>
        <n v="1180.0"/>
        <n v="1185.0"/>
        <n v="1200.0"/>
        <n v="1168.0"/>
        <n v="1189.0"/>
        <n v="800.0"/>
        <n v="863.0"/>
        <n v="976.0"/>
        <n v="1377.0"/>
        <n v="1079.0"/>
        <n v="1420.0"/>
        <n v="1321.0"/>
        <n v="1410.0"/>
        <n v="1347.0"/>
        <n v="1318.0"/>
        <n v="551.0"/>
        <n v="796.0"/>
        <n v="548.0"/>
        <n v="862.0"/>
        <n v="634.0"/>
        <n v="659.0"/>
        <n v="708.0"/>
        <n v="484.0"/>
        <n v="637.0"/>
        <n v="697.0"/>
        <n v="645.0"/>
        <n v="722.0"/>
        <n v="655.0"/>
        <n v="654.0"/>
        <n v="683.0"/>
        <n v="607.0"/>
        <n v="127.0"/>
        <n v="1155.0"/>
        <n v="1066.0"/>
        <n v="1000.0"/>
        <n v="1049.0"/>
        <n v="1190.0"/>
        <n v="1021.0"/>
        <n v="978.0"/>
        <n v="1041.0"/>
        <n v="1007.0"/>
        <n v="961.0"/>
        <n v="1240.0"/>
        <n v="1047.0"/>
        <n v="1136.0"/>
        <n v="111.0"/>
        <n v="864.0"/>
        <n v="566.0"/>
        <n v="829.0"/>
        <n v="810.0"/>
        <n v="1198.0"/>
        <n v="685.0"/>
        <n v="737.0"/>
        <n v="1253.0"/>
        <n v="834.0"/>
        <n v="343.0"/>
        <n v="1177.0"/>
        <n v="1255.0"/>
        <n v="1113.0"/>
        <n v="1137.0"/>
        <n v="1164.0"/>
        <n v="1260.0"/>
        <n v="1187.0"/>
        <n v="1215.0"/>
        <n v="1281.0"/>
        <n v="1389.0"/>
        <n v="1345.0"/>
        <n v="1166.0"/>
        <n v="1208.0"/>
        <n v="1076.0"/>
        <n v="1073.0"/>
        <n v="1244.0"/>
        <n v="1298.0"/>
        <n v="1362.0"/>
        <n v="1335.0"/>
        <n v="1268.0"/>
        <n v="1278.0"/>
        <n v="1199.0"/>
        <n v="1313.0"/>
        <n v="1286.0"/>
        <n v="1393.0"/>
        <n v="1257.0"/>
        <n v="723.0"/>
        <n v="699.0"/>
        <n v="563.0"/>
        <n v="599.0"/>
        <n v="763.0"/>
        <n v="677.0"/>
        <n v="769.0"/>
        <n v="740.0"/>
        <n v="593.0"/>
        <n v="780.0"/>
        <n v="802.0"/>
        <n v="822.0"/>
        <n v="831.0"/>
        <n v="851.0"/>
        <n v="433.0"/>
        <n v="1252.0"/>
        <n v="1375.0"/>
        <n v="1309.0"/>
        <n v="1246.0"/>
        <n v="1229.0"/>
        <n v="1170.0"/>
        <n v="1151.0"/>
        <n v="1134.0"/>
        <n v="1209.0"/>
        <n v="1069.0"/>
        <n v="1311.0"/>
        <n v="1370.0"/>
        <n v="1250.0"/>
        <n v="1183.0"/>
        <n v="1226.0"/>
        <n v="806.0"/>
        <n v="937.0"/>
        <n v="1428.0"/>
        <n v="1431.0"/>
        <n v="817.0"/>
        <n v="795.0"/>
        <n v="1360.0"/>
        <n v="900.0"/>
        <n v="848.0"/>
        <n v="48.0"/>
        <n v="1036.0"/>
        <n v="888.0"/>
        <n v="1060.0"/>
        <n v="1141.0"/>
        <n v="1032.0"/>
        <n v="1143.0"/>
        <n v="1207.0"/>
        <n v="1089.0"/>
        <n v="1154.0"/>
        <n v="770.0"/>
      </sharedItems>
    </cacheField>
    <cacheField name="Calories" numFmtId="0">
      <sharedItems containsSemiMixedTypes="0" containsString="0" containsNumber="1" containsInteger="1">
        <n v="1985.0"/>
        <n v="1797.0"/>
        <n v="1776.0"/>
        <n v="1745.0"/>
        <n v="1863.0"/>
        <n v="1728.0"/>
        <n v="1921.0"/>
        <n v="2035.0"/>
        <n v="1786.0"/>
        <n v="1775.0"/>
        <n v="1827.0"/>
        <n v="1949.0"/>
        <n v="1788.0"/>
        <n v="2013.0"/>
        <n v="1970.0"/>
        <n v="2159.0"/>
        <n v="1898.0"/>
        <n v="1837.0"/>
        <n v="1947.0"/>
        <n v="1820.0"/>
        <n v="2004.0"/>
        <n v="1990.0"/>
        <n v="1819.0"/>
        <n v="1959.0"/>
        <n v="1896.0"/>
        <n v="1821.0"/>
        <n v="1740.0"/>
        <n v="1859.0"/>
        <n v="1783.0"/>
        <n v="0.0"/>
        <n v="1432.0"/>
        <n v="1411.0"/>
        <n v="1572.0"/>
        <n v="1344.0"/>
        <n v="1463.0"/>
        <n v="1554.0"/>
        <n v="1604.0"/>
        <n v="1435.0"/>
        <n v="1446.0"/>
        <n v="1467.0"/>
        <n v="1470.0"/>
        <n v="1562.0"/>
        <n v="1617.0"/>
        <n v="1492.0"/>
        <n v="1402.0"/>
        <n v="1670.0"/>
        <n v="1401.0"/>
        <n v="1404.0"/>
        <n v="1655.0"/>
        <n v="2690.0"/>
        <n v="1497.0"/>
        <n v="1334.0"/>
        <n v="1368.0"/>
        <n v="1370.0"/>
        <n v="1341.0"/>
        <n v="1474.0"/>
        <n v="1427.0"/>
        <n v="1328.0"/>
        <n v="1393.0"/>
        <n v="1359.0"/>
        <n v="1002.0"/>
        <n v="3199.0"/>
        <n v="2902.0"/>
        <n v="3226.0"/>
        <n v="2750.0"/>
        <n v="3493.0"/>
        <n v="3011.0"/>
        <n v="2806.0"/>
        <n v="3300.0"/>
        <n v="2430.0"/>
        <n v="2140.0"/>
        <n v="2344.0"/>
        <n v="2677.0"/>
        <n v="2413.0"/>
        <n v="2497.0"/>
        <n v="3123.0"/>
        <n v="2489.0"/>
        <n v="3108.0"/>
        <n v="2498.0"/>
        <n v="3846.0"/>
        <n v="2696.0"/>
        <n v="2580.0"/>
        <n v="3324.0"/>
        <n v="2222.0"/>
        <n v="2463.0"/>
        <n v="3328.0"/>
        <n v="3404.0"/>
        <n v="2987.0"/>
        <n v="3008.0"/>
        <n v="2799.0"/>
        <n v="1276.0"/>
        <n v="2030.0"/>
        <n v="1860.0"/>
        <n v="2130.0"/>
        <n v="1725.0"/>
        <n v="1657.0"/>
        <n v="1793.0"/>
        <n v="1814.0"/>
        <n v="1366.0"/>
        <n v="1349.0"/>
        <n v="2062.0"/>
        <n v="1645.0"/>
        <n v="1347.0"/>
        <n v="1348.0"/>
        <n v="1992.0"/>
        <n v="1856.0"/>
        <n v="1763.0"/>
        <n v="1541.0"/>
        <n v="1742.0"/>
        <n v="1549.0"/>
        <n v="1589.0"/>
        <n v="1351.0"/>
        <n v="665.0"/>
        <n v="2220.0"/>
        <n v="2151.0"/>
        <n v="2383.0"/>
        <n v="2221.0"/>
        <n v="2064.0"/>
        <n v="2063.0"/>
        <n v="2111.0"/>
        <n v="2093.0"/>
        <n v="2499.0"/>
        <n v="2324.0"/>
        <n v="2100.0"/>
        <n v="2638.0"/>
        <n v="2351.0"/>
        <n v="2411.0"/>
        <n v="2505.0"/>
        <n v="2195.0"/>
        <n v="2338.0"/>
        <n v="2229.0"/>
        <n v="1383.0"/>
        <n v="2390.0"/>
        <n v="2601.0"/>
        <n v="2312.0"/>
        <n v="2525.0"/>
        <n v="2177.0"/>
        <n v="2782.0"/>
        <n v="2770.0"/>
        <n v="2897.0"/>
        <n v="3158.0"/>
        <n v="2069.0"/>
        <n v="2529.0"/>
        <n v="2470.0"/>
        <n v="2793.0"/>
        <n v="2296.0"/>
        <n v="2611.0"/>
        <n v="2732.0"/>
        <n v="2380.0"/>
        <n v="2473.0"/>
        <n v="2752.0"/>
        <n v="2649.0"/>
        <n v="2609.0"/>
        <n v="1995.0"/>
        <n v="1848.0"/>
        <n v="2709.0"/>
        <n v="2797.0"/>
        <n v="2544.0"/>
        <n v="1853.0"/>
        <n v="1459.0"/>
        <n v="1521.0"/>
        <n v="1431.0"/>
        <n v="1444.0"/>
        <n v="1373.0"/>
        <n v="1214.0"/>
        <n v="1419.0"/>
        <n v="1356.0"/>
        <n v="1667.0"/>
        <n v="1399.0"/>
        <n v="1916.0"/>
        <n v="1576.0"/>
        <n v="1595.0"/>
        <n v="1593.0"/>
        <n v="1649.0"/>
        <n v="1692.0"/>
        <n v="1506.0"/>
        <n v="1447.0"/>
        <n v="1690.0"/>
        <n v="1658.0"/>
        <n v="1926.0"/>
        <n v="1736.0"/>
        <n v="1491.0"/>
        <n v="1555.0"/>
        <n v="1869.0"/>
        <n v="1141.0"/>
        <n v="1698.0"/>
        <n v="1364.0"/>
        <n v="2124.0"/>
        <n v="2003.0"/>
        <n v="1696.0"/>
        <n v="1801.0"/>
        <n v="1724.0"/>
        <n v="1852.0"/>
        <n v="1905.0"/>
        <n v="1811.0"/>
        <n v="1922.0"/>
        <n v="1610.0"/>
        <n v="1851.0"/>
        <n v="1804.0"/>
        <n v="1654.0"/>
        <n v="1632.0"/>
        <n v="1481.0"/>
        <n v="1473.0"/>
        <n v="1410.0"/>
        <n v="1779.0"/>
        <n v="1403.0"/>
        <n v="1613.0"/>
        <n v="1878.0"/>
        <n v="1426.0"/>
        <n v="1780.0"/>
        <n v="1972.0"/>
        <n v="1630.0"/>
        <n v="1899.0"/>
        <n v="1903.0"/>
        <n v="1125.0"/>
        <n v="2038.0"/>
        <n v="2010.0"/>
        <n v="2133.0"/>
        <n v="2670.0"/>
        <n v="1882.0"/>
        <n v="1944.0"/>
        <n v="2346.0"/>
        <n v="2198.0"/>
        <n v="2048.0"/>
        <n v="1946.0"/>
        <n v="2629.0"/>
        <n v="2187.0"/>
        <n v="2095.0"/>
        <n v="1861.0"/>
        <n v="2194.0"/>
        <n v="1854.0"/>
        <n v="403.0"/>
        <n v="1982.0"/>
        <n v="1893.0"/>
        <n v="2148.0"/>
        <n v="1529.0"/>
        <n v="1890.0"/>
        <n v="1956.0"/>
        <n v="2094.0"/>
        <n v="2241.0"/>
        <n v="2021.0"/>
        <n v="1907.0"/>
        <n v="1966.0"/>
        <n v="1835.0"/>
        <n v="1830.0"/>
        <n v="1739.0"/>
        <n v="1906.0"/>
        <n v="2015.0"/>
        <n v="1971.0"/>
        <n v="1910.0"/>
        <n v="1897.0"/>
        <n v="2096.0"/>
        <n v="1962.0"/>
        <n v="1826.0"/>
        <n v="2065.0"/>
        <n v="1908.0"/>
        <n v="1964.0"/>
        <n v="2014.0"/>
        <n v="1867.0"/>
        <n v="1669.0"/>
        <n v="2057.0"/>
        <n v="2044.0"/>
        <n v="1237.0"/>
        <n v="1450.0"/>
        <n v="1495.0"/>
        <n v="1433.0"/>
        <n v="1468.0"/>
        <n v="1625.0"/>
        <n v="1584.0"/>
        <n v="1638.0"/>
        <n v="1397.0"/>
        <n v="1570.0"/>
        <n v="1551.0"/>
        <n v="1377.0"/>
        <n v="1407.0"/>
        <n v="1545.0"/>
        <n v="1650.0"/>
        <n v="1501.0"/>
        <n v="1760.0"/>
        <n v="1710.0"/>
        <n v="1628.0"/>
        <n v="1618.0"/>
        <n v="1590.0"/>
        <n v="1574.0"/>
        <n v="1633.0"/>
        <n v="52.0"/>
        <n v="3654.0"/>
        <n v="1981.0"/>
        <n v="2011.0"/>
        <n v="2951.0"/>
        <n v="3051.0"/>
        <n v="1980.0"/>
        <n v="2207.0"/>
        <n v="2828.0"/>
        <n v="3879.0"/>
        <n v="3429.0"/>
        <n v="2704.0"/>
        <n v="2975.0"/>
        <n v="3089.0"/>
        <n v="2785.0"/>
        <n v="2926.0"/>
        <n v="2645.0"/>
        <n v="1120.0"/>
        <n v="2286.0"/>
        <n v="2306.0"/>
        <n v="1527.0"/>
        <n v="2115.0"/>
        <n v="2135.0"/>
        <n v="2302.0"/>
        <n v="1884.0"/>
        <n v="1464.0"/>
        <n v="2200.0"/>
        <n v="1792.0"/>
        <n v="1886.0"/>
        <n v="1945.0"/>
        <n v="1880.0"/>
        <n v="2314.0"/>
        <n v="2236.0"/>
        <n v="2367.0"/>
        <n v="2175.0"/>
        <n v="2092.0"/>
        <n v="2270.0"/>
        <n v="2235.0"/>
        <n v="2282.0"/>
        <n v="2530.0"/>
        <n v="2266.0"/>
        <n v="2158.0"/>
        <n v="2345.0"/>
        <n v="2260.0"/>
        <n v="2232.0"/>
        <n v="257.0"/>
        <n v="2955.0"/>
        <n v="3092.0"/>
        <n v="2998.0"/>
        <n v="3066.0"/>
        <n v="3073.0"/>
        <n v="2572.0"/>
        <n v="3274.0"/>
        <n v="3015.0"/>
        <n v="3083.0"/>
        <n v="3069.0"/>
        <n v="3544.0"/>
        <n v="3306.0"/>
        <n v="2885.0"/>
        <n v="3288.0"/>
        <n v="2929.0"/>
        <n v="3074.0"/>
        <n v="2969.0"/>
        <n v="2979.0"/>
        <n v="3283.0"/>
        <n v="3147.0"/>
        <n v="3290.0"/>
        <n v="3162.0"/>
        <n v="2899.0"/>
        <n v="3425.0"/>
        <n v="4022.0"/>
        <n v="3934.0"/>
        <n v="3013.0"/>
        <n v="3061.0"/>
        <n v="2954.0"/>
        <n v="1623.0"/>
        <n v="2113.0"/>
        <n v="2496.0"/>
        <n v="2180.0"/>
        <n v="1933.0"/>
        <n v="2248.0"/>
        <n v="1954.0"/>
        <n v="1974.0"/>
        <n v="2150.0"/>
        <n v="2432.0"/>
        <n v="2149.0"/>
        <n v="2247.0"/>
        <n v="2070.0"/>
        <n v="2291.0"/>
        <n v="2361.0"/>
        <n v="2203.0"/>
        <n v="2196.0"/>
        <n v="2363.0"/>
        <n v="2246.0"/>
        <n v="2336.0"/>
        <n v="2421.0"/>
        <n v="2120.0"/>
        <n v="2211.0"/>
        <n v="2123.0"/>
        <n v="2423.0"/>
        <n v="2281.0"/>
        <n v="2181.0"/>
        <n v="1212.0"/>
        <n v="1909.0"/>
        <n v="1722.0"/>
        <n v="2121.0"/>
        <n v="1997.0"/>
        <n v="2117.0"/>
        <n v="2116.0"/>
        <n v="1876.0"/>
        <n v="2486.0"/>
        <n v="2085.0"/>
        <n v="2173.0"/>
        <n v="2225.0"/>
        <n v="2223.0"/>
        <n v="2098.0"/>
        <n v="2185.0"/>
        <n v="1918.0"/>
        <n v="2105.0"/>
        <n v="2066.0"/>
        <n v="1953.0"/>
        <n v="1842.0"/>
        <n v="2262.0"/>
        <n v="1973.0"/>
        <n v="2666.0"/>
        <n v="1889.0"/>
        <n v="2131.0"/>
        <n v="1452.0"/>
        <n v="2947.0"/>
        <n v="2898.0"/>
        <n v="2984.0"/>
        <n v="2896.0"/>
        <n v="3394.0"/>
        <n v="2812.0"/>
        <n v="2729.0"/>
        <n v="3691.0"/>
        <n v="3538.0"/>
        <n v="3064.0"/>
        <n v="2784.0"/>
        <n v="2908.0"/>
        <n v="3033.0"/>
        <n v="3165.0"/>
        <n v="3115.0"/>
        <n v="2017.0"/>
        <n v="2859.0"/>
        <n v="3145.0"/>
        <n v="3004.0"/>
        <n v="3006.0"/>
        <n v="3683.0"/>
        <n v="3287.0"/>
        <n v="2990.0"/>
        <n v="3172.0"/>
        <n v="1240.0"/>
        <n v="2026.0"/>
        <n v="1718.0"/>
        <n v="2254.0"/>
        <n v="1831.0"/>
        <n v="1683.0"/>
        <n v="2284.0"/>
        <n v="1507.0"/>
        <n v="2033.0"/>
        <n v="1999.0"/>
        <n v="2169.0"/>
        <n v="1747.0"/>
        <n v="1996.0"/>
        <n v="2156.0"/>
        <n v="1494.0"/>
        <n v="1762.0"/>
        <n v="2272.0"/>
        <n v="2335.0"/>
        <n v="1693.0"/>
        <n v="741.0"/>
        <n v="3405.0"/>
        <n v="2551.0"/>
        <n v="4005.0"/>
        <n v="4274.0"/>
        <n v="4552.0"/>
        <n v="3625.0"/>
        <n v="3501.0"/>
        <n v="3192.0"/>
        <n v="4018.0"/>
        <n v="3329.0"/>
        <n v="3152.0"/>
        <n v="4392.0"/>
        <n v="3374.0"/>
        <n v="3088.0"/>
        <n v="3294.0"/>
        <n v="3580.0"/>
        <n v="4501.0"/>
        <n v="4546.0"/>
        <n v="3014.0"/>
        <n v="3795.0"/>
        <n v="2755.0"/>
        <n v="2643.0"/>
        <n v="3841.0"/>
        <n v="1665.0"/>
        <n v="1496.0"/>
        <n v="2865.0"/>
        <n v="2018.0"/>
        <n v="2606.0"/>
        <n v="2536.0"/>
        <n v="4900.0"/>
        <n v="2409.0"/>
        <n v="2651.0"/>
        <n v="2305.0"/>
        <n v="2450.0"/>
        <n v="2576.0"/>
        <n v="1879.0"/>
        <n v="2560.0"/>
        <n v="2275.0"/>
        <n v="1902.0"/>
        <n v="2636.0"/>
        <n v="1838.0"/>
        <n v="2469.0"/>
        <n v="2250.0"/>
        <n v="1248.0"/>
        <n v="2905.0"/>
        <n v="2952.0"/>
        <n v="2783.0"/>
        <n v="3171.0"/>
        <n v="2766.0"/>
        <n v="2839.0"/>
        <n v="2701.0"/>
        <n v="2060.0"/>
        <n v="2796.0"/>
        <n v="2664.0"/>
        <n v="2703.0"/>
        <n v="2771.0"/>
        <n v="2743.0"/>
        <n v="2687.0"/>
        <n v="2843.0"/>
        <n v="3327.0"/>
        <n v="2725.0"/>
        <n v="2671.0"/>
        <n v="2718.0"/>
        <n v="2682.0"/>
        <n v="2613.0"/>
        <n v="2712.0"/>
        <n v="1841.0"/>
        <n v="2400.0"/>
        <n v="2507.0"/>
        <n v="2127.0"/>
        <n v="2067.0"/>
        <n v="2798.0"/>
        <n v="3727.0"/>
        <n v="2053.0"/>
        <n v="2484.0"/>
        <n v="2584.0"/>
        <n v="1993.0"/>
        <n v="2280.0"/>
        <n v="2319.0"/>
        <n v="1843.0"/>
        <n v="1032.0"/>
        <n v="1994.0"/>
        <n v="1466.0"/>
        <n v="1756.0"/>
        <n v="2027.0"/>
        <n v="2039.0"/>
        <n v="2046.0"/>
        <n v="2174.0"/>
        <n v="2179.0"/>
        <n v="2086.0"/>
        <n v="2571.0"/>
        <n v="1705.0"/>
        <n v="2012.0"/>
        <n v="2034.0"/>
        <n v="2182.0"/>
        <n v="2002.0"/>
        <n v="2162.0"/>
        <n v="2072.0"/>
        <n v="1850.0"/>
        <n v="1659.0"/>
        <n v="1855.0"/>
        <n v="928.0"/>
        <n v="2937.0"/>
        <n v="2742.0"/>
        <n v="2668.0"/>
        <n v="2076.0"/>
        <n v="2832.0"/>
        <n v="3096.0"/>
        <n v="2763.0"/>
        <n v="2889.0"/>
        <n v="2667.0"/>
        <n v="3055.0"/>
        <n v="2939.0"/>
        <n v="2830.0"/>
        <n v="2836.0"/>
        <n v="3180.0"/>
        <n v="2051.0"/>
        <n v="2642.0"/>
        <n v="2976.0"/>
        <n v="1557.0"/>
        <n v="2933.0"/>
        <n v="2553.0"/>
        <n v="120.0"/>
        <n v="2772.0"/>
        <n v="2516.0"/>
        <n v="2734.0"/>
        <n v="2395.0"/>
        <n v="1635.0"/>
        <n v="1629.0"/>
        <n v="2944.0"/>
        <n v="2997.0"/>
        <n v="2846.0"/>
        <n v="1965.0"/>
        <n v="2049.0"/>
        <n v="2781.0"/>
        <n v="2693.0"/>
        <n v="2862.0"/>
        <n v="2616.0"/>
        <n v="2995.0"/>
        <n v="2730.0"/>
        <n v="2754.0"/>
        <n v="2655.0"/>
        <n v="2386.0"/>
        <n v="2924.0"/>
        <n v="2739.0"/>
        <n v="2534.0"/>
        <n v="2960.0"/>
        <n v="2800.0"/>
        <n v="2735.0"/>
        <n v="1199.0"/>
        <n v="3186.0"/>
        <n v="3140.0"/>
        <n v="3411.0"/>
        <n v="3410.0"/>
        <n v="2867.0"/>
        <n v="3213.0"/>
        <n v="3133.0"/>
        <n v="3114.0"/>
        <n v="3043.0"/>
        <n v="3103.0"/>
        <n v="3554.0"/>
        <n v="3577.0"/>
        <n v="3403.0"/>
        <n v="2852.0"/>
        <n v="3062.0"/>
        <n v="2794.0"/>
        <n v="2408.0"/>
        <n v="1988.0"/>
        <n v="3023.0"/>
        <n v="2918.0"/>
        <n v="2950.0"/>
        <n v="3331.0"/>
        <n v="3589.0"/>
        <n v="2765.0"/>
        <n v="2809.0"/>
        <n v="1505.0"/>
        <n v="1935.0"/>
        <n v="2112.0"/>
        <n v="1829.0"/>
        <n v="1931.0"/>
        <n v="2218.0"/>
        <n v="1651.0"/>
        <n v="2132.0"/>
        <n v="1976.0"/>
        <n v="1813.0"/>
        <n v="2008.0"/>
        <n v="1580.0"/>
        <n v="3635.0"/>
        <n v="4079.0"/>
        <n v="4163.0"/>
        <n v="3666.0"/>
        <n v="3363.0"/>
        <n v="4157.0"/>
        <n v="4092.0"/>
        <n v="3787.0"/>
        <n v="4236.0"/>
        <n v="4044.0"/>
        <n v="2741.0"/>
        <n v="3763.0"/>
        <n v="2884.0"/>
        <n v="2982.0"/>
        <n v="2660.0"/>
        <n v="3369.0"/>
        <n v="3491.0"/>
        <n v="3784.0"/>
        <n v="3110.0"/>
        <n v="3783.0"/>
        <n v="3644.0"/>
        <n v="2685.0"/>
        <n v="3721.0"/>
        <n v="3586.0"/>
        <n v="3788.0"/>
        <n v="2650.0"/>
        <n v="2654.0"/>
        <n v="2443.0"/>
        <n v="2439.0"/>
        <n v="2647.0"/>
        <n v="2883.0"/>
        <n v="3012.0"/>
        <n v="2547.0"/>
        <n v="3093.0"/>
        <n v="3142.0"/>
        <n v="2757.0"/>
        <n v="3513.0"/>
        <n v="3164.0"/>
        <n v="2596.0"/>
        <n v="2894.0"/>
        <n v="3212.0"/>
        <n v="3266.0"/>
        <n v="2683.0"/>
        <n v="2810.0"/>
        <n v="2940.0"/>
        <n v="2804.0"/>
        <n v="1934.0"/>
        <n v="1963.0"/>
        <n v="2009.0"/>
        <n v="1721.0"/>
        <n v="1688.0"/>
        <n v="2188.0"/>
        <n v="1720.0"/>
        <n v="2419.0"/>
        <n v="2748.0"/>
        <n v="1799.0"/>
        <n v="1928.0"/>
        <n v="2780.0"/>
        <n v="3101.0"/>
        <n v="2297.0"/>
        <n v="57.0"/>
        <n v="3921.0"/>
        <n v="3566.0"/>
        <n v="3793.0"/>
        <n v="4547.0"/>
        <n v="3545.0"/>
        <n v="2761.0"/>
        <n v="3676.0"/>
        <n v="3679.0"/>
        <n v="3659.0"/>
        <n v="3427.0"/>
        <n v="3891.0"/>
        <n v="3455.0"/>
        <n v="3802.0"/>
        <n v="2860.0"/>
        <n v="3808.0"/>
        <n v="3060.0"/>
        <n v="2698.0"/>
        <n v="4398.0"/>
        <n v="2786.0"/>
        <n v="2189.0"/>
        <n v="2817.0"/>
        <n v="3477.0"/>
        <n v="3052.0"/>
        <n v="4015.0"/>
        <n v="4142.0"/>
        <n v="2847.0"/>
        <n v="3710.0"/>
        <n v="3832.0"/>
        <n v="1849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4" sheet="Activity"/>
  </cacheSource>
  <cacheFields>
    <cacheField name="Id" numFmtId="0">
      <sharedItems containsSemiMixedTypes="0" containsString="0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  <n v="8.877689391E9"/>
      </sharedItems>
    </cacheField>
    <cacheField name="AV of TotalSteps" numFmtId="1">
      <sharedItems containsSemiMixedTypes="0" containsString="0" containsNumber="1">
        <n v="12116.741935483871"/>
        <n v="5743.903225806452"/>
        <n v="7282.966666666666"/>
        <n v="2580.064516129032"/>
        <n v="916.1290322580645"/>
        <n v="11370.645161290322"/>
        <n v="5566.870967741936"/>
        <n v="4716.870967741936"/>
        <n v="9519.666666666666"/>
        <n v="7555.774193548387"/>
        <n v="6861.65"/>
        <n v="10984.566666666668"/>
        <n v="2267.2258064516127"/>
        <n v="3838.0"/>
        <n v="7268.8387096774195"/>
        <n v="10813.935483870968"/>
        <n v="4796.548387096775"/>
        <n v="7685.129032258064"/>
        <n v="8572.064516129032"/>
        <n v="8612.58064516129"/>
        <n v="8304.433333333332"/>
        <n v="7046.714285714285"/>
        <n v="5649.551724137931"/>
        <n v="2519.6923076923076"/>
        <n v="9794.806451612903"/>
        <n v="11323.423076923076"/>
        <n v="9371.774193548386"/>
        <n v="14763.290322580646"/>
        <n v="6482.1578947368425"/>
        <n v="8717.709677419354"/>
        <n v="7198.5161290322585"/>
        <n v="1853.7241379310344"/>
        <n v="16040.032258064517"/>
      </sharedItems>
    </cacheField>
    <cacheField name="AV of Calories" numFmtId="1">
      <sharedItems containsSemiMixedTypes="0" containsString="0" containsNumber="1">
        <n v="1816.4193548387098"/>
        <n v="1483.3548387096773"/>
        <n v="2811.3"/>
        <n v="1573.483870967742"/>
        <n v="2172.8064516129034"/>
        <n v="2509.967741935484"/>
        <n v="1540.6451612903227"/>
        <n v="1724.1612903225807"/>
        <n v="2043.4444444444443"/>
        <n v="1916.967741935484"/>
        <n v="1933.1"/>
        <n v="1513.6666666666667"/>
        <n v="2385.8064516129034"/>
        <n v="1973.75"/>
        <n v="2037.6774193548388"/>
        <n v="3093.8709677419356"/>
        <n v="2186.1935483870966"/>
        <n v="2033.258064516129"/>
        <n v="2965.548387096774"/>
        <n v="1875.6774193548388"/>
        <n v="3359.633333333333"/>
        <n v="2261.1428571428573"/>
        <n v="2599.6206896551726"/>
        <n v="2131.769230769231"/>
        <n v="1982.032258064516"/>
        <n v="2544.0"/>
        <n v="2566.3548387096776"/>
        <n v="2945.8064516129034"/>
        <n v="1788.0"/>
        <n v="3436.5806451612902"/>
        <n v="2732.032258064516"/>
        <n v="1962.3103448275863"/>
        <n v="3420.2580645161293"/>
      </sharedItems>
    </cacheField>
    <cacheField name="Activity Level" numFmtId="0">
      <sharedItems>
        <s v="HIGH"/>
        <s v="MEDIUM"/>
        <s v="LOW"/>
      </sharedItems>
    </cacheField>
    <cacheField name="Activity days" numFmtId="0">
      <sharedItems containsSemiMixedTypes="0" containsString="0" containsNumber="1" containsInteger="1">
        <n v="31.0"/>
        <n v="30.0"/>
        <n v="18.0"/>
        <n v="20.0"/>
        <n v="4.0"/>
        <n v="28.0"/>
        <n v="29.0"/>
        <n v="26.0"/>
        <n v="19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904" sheet="Activity vs Sleep"/>
  </cacheSource>
  <cacheFields>
    <cacheField name="Id" numFmtId="0">
      <sharedItems containsSemiMixedTypes="0" containsString="0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</sharedItems>
    </cacheField>
    <cacheField name="ActivityDate" numFmtId="164">
      <sharedItems containsSemiMixedTypes="0" containsDate="1" containsString="0"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4T00:00:00Z"/>
        <d v="2016-04-25T00:00:00Z"/>
        <d v="2016-04-26T00:00:00Z"/>
        <d v="2016-04-27T00:00:00Z"/>
        <d v="2016-04-28T00:00:00Z"/>
        <d v="2016-04-29T00:00:00Z"/>
        <d v="2016-04-30T00:00:00Z"/>
        <d v="2016-05-01T00:00:00Z"/>
        <d v="2016-05-02T00:00:00Z"/>
        <d v="2016-05-03T00:00:00Z"/>
        <d v="2016-05-04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</sharedItems>
    </cacheField>
    <cacheField name="Uniqe ID" numFmtId="0">
      <sharedItems>
        <s v="150396036642472"/>
        <s v="150396036642473"/>
        <s v="150396036642474"/>
        <s v="150396036642475"/>
        <s v="150396036642476"/>
        <s v="150396036642477"/>
        <s v="150396036642478"/>
        <s v="150396036642479"/>
        <s v="150396036642480"/>
        <s v="150396036642481"/>
        <s v="150396036642482"/>
        <s v="150396036642483"/>
        <s v="150396036642484"/>
        <s v="150396036642485"/>
        <s v="150396036642486"/>
        <s v="150396036642487"/>
        <s v="150396036642488"/>
        <s v="150396036642489"/>
        <s v="150396036642490"/>
        <s v="150396036642491"/>
        <s v="150396036642492"/>
        <s v="150396036642493"/>
        <s v="150396036642494"/>
        <s v="150396036642495"/>
        <s v="150396036642496"/>
        <s v="150396036642497"/>
        <s v="150396036642498"/>
        <s v="150396036642499"/>
        <s v="150396036642500"/>
        <s v="150396036642501"/>
        <s v="150396036642502"/>
        <s v="162458008142472"/>
        <s v="162458008142473"/>
        <s v="162458008142474"/>
        <s v="162458008142475"/>
        <s v="162458008142476"/>
        <s v="162458008142477"/>
        <s v="162458008142478"/>
        <s v="162458008142479"/>
        <s v="162458008142480"/>
        <s v="162458008142481"/>
        <s v="162458008142482"/>
        <s v="162458008142483"/>
        <s v="162458008142484"/>
        <s v="162458008142485"/>
        <s v="162458008142486"/>
        <s v="162458008142487"/>
        <s v="162458008142488"/>
        <s v="162458008142489"/>
        <s v="162458008142490"/>
        <s v="162458008142491"/>
        <s v="162458008142492"/>
        <s v="162458008142493"/>
        <s v="162458008142494"/>
        <s v="162458008142495"/>
        <s v="162458008142496"/>
        <s v="162458008142497"/>
        <s v="162458008142498"/>
        <s v="162458008142499"/>
        <s v="162458008142500"/>
        <s v="162458008142501"/>
        <s v="162458008142502"/>
        <s v="164443008142472"/>
        <s v="164443008142473"/>
        <s v="164443008142474"/>
        <s v="164443008142475"/>
        <s v="164443008142476"/>
        <s v="164443008142477"/>
        <s v="164443008142478"/>
        <s v="164443008142479"/>
        <s v="164443008142480"/>
        <s v="164443008142481"/>
        <s v="164443008142482"/>
        <s v="164443008142483"/>
        <s v="164443008142484"/>
        <s v="164443008142485"/>
        <s v="164443008142486"/>
        <s v="164443008142487"/>
        <s v="164443008142488"/>
        <s v="164443008142489"/>
        <s v="164443008142490"/>
        <s v="164443008142491"/>
        <s v="164443008142492"/>
        <s v="164443008142493"/>
        <s v="164443008142494"/>
        <s v="164443008142495"/>
        <s v="164443008142496"/>
        <s v="164443008142497"/>
        <s v="164443008142498"/>
        <s v="164443008142499"/>
        <s v="164443008142500"/>
        <s v="164443008142501"/>
        <s v="184450507242472"/>
        <s v="184450507242473"/>
        <s v="184450507242474"/>
        <s v="184450507242475"/>
        <s v="184450507242476"/>
        <s v="184450507242477"/>
        <s v="184450507242478"/>
        <s v="184450507242479"/>
        <s v="184450507242480"/>
        <s v="184450507242481"/>
        <s v="184450507242482"/>
        <s v="184450507242483"/>
        <s v="184450507242484"/>
        <s v="184450507242485"/>
        <s v="184450507242486"/>
        <s v="184450507242487"/>
        <s v="184450507242488"/>
        <s v="184450507242489"/>
        <s v="184450507242490"/>
        <s v="184450507242491"/>
        <s v="184450507242492"/>
        <s v="184450507242493"/>
        <s v="184450507242494"/>
        <s v="184450507242495"/>
        <s v="184450507242496"/>
        <s v="184450507242497"/>
        <s v="184450507242498"/>
        <s v="184450507242499"/>
        <s v="184450507242500"/>
        <s v="184450507242501"/>
        <s v="184450507242502"/>
        <s v="192797227942472"/>
        <s v="192797227942473"/>
        <s v="192797227942474"/>
        <s v="192797227942475"/>
        <s v="192797227942476"/>
        <s v="192797227942477"/>
        <s v="192797227942478"/>
        <s v="192797227942479"/>
        <s v="192797227942480"/>
        <s v="192797227942481"/>
        <s v="192797227942482"/>
        <s v="192797227942483"/>
        <s v="192797227942484"/>
        <s v="192797227942485"/>
        <s v="192797227942486"/>
        <s v="192797227942487"/>
        <s v="192797227942488"/>
        <s v="192797227942489"/>
        <s v="192797227942490"/>
        <s v="192797227942491"/>
        <s v="192797227942492"/>
        <s v="192797227942493"/>
        <s v="192797227942494"/>
        <s v="192797227942495"/>
        <s v="192797227942496"/>
        <s v="192797227942497"/>
        <s v="192797227942498"/>
        <s v="192797227942499"/>
        <s v="192797227942500"/>
        <s v="192797227942501"/>
        <s v="192797227942502"/>
        <s v="202248440842472"/>
        <s v="202248440842473"/>
        <s v="202248440842474"/>
        <s v="202248440842475"/>
        <s v="202248440842476"/>
        <s v="202248440842477"/>
        <s v="202248440842478"/>
        <s v="202248440842479"/>
        <s v="202248440842480"/>
        <s v="202248440842481"/>
        <s v="202248440842482"/>
        <s v="202248440842483"/>
        <s v="202248440842484"/>
        <s v="202248440842485"/>
        <s v="202248440842486"/>
        <s v="202248440842487"/>
        <s v="202248440842488"/>
        <s v="202248440842489"/>
        <s v="202248440842490"/>
        <s v="202248440842491"/>
        <s v="202248440842492"/>
        <s v="202248440842493"/>
        <s v="202248440842494"/>
        <s v="202248440842495"/>
        <s v="202248440842496"/>
        <s v="202248440842497"/>
        <s v="202248440842498"/>
        <s v="202248440842499"/>
        <s v="202248440842500"/>
        <s v="202248440842501"/>
        <s v="202248440842502"/>
        <s v="202635203542472"/>
        <s v="202635203542473"/>
        <s v="202635203542474"/>
        <s v="202635203542475"/>
        <s v="202635203542476"/>
        <s v="202635203542477"/>
        <s v="202635203542478"/>
        <s v="202635203542479"/>
        <s v="202635203542480"/>
        <s v="202635203542481"/>
        <s v="202635203542482"/>
        <s v="202635203542483"/>
        <s v="202635203542484"/>
        <s v="202635203542485"/>
        <s v="202635203542486"/>
        <s v="202635203542487"/>
        <s v="202635203542488"/>
        <s v="202635203542489"/>
        <s v="202635203542490"/>
        <s v="202635203542491"/>
        <s v="202635203542492"/>
        <s v="202635203542493"/>
        <s v="202635203542494"/>
        <s v="202635203542495"/>
        <s v="202635203542496"/>
        <s v="202635203542497"/>
        <s v="202635203542498"/>
        <s v="202635203542499"/>
        <s v="202635203542500"/>
        <s v="202635203542501"/>
        <s v="202635203542502"/>
        <s v="232012700242472"/>
        <s v="232012700242473"/>
        <s v="232012700242474"/>
        <s v="232012700242475"/>
        <s v="232012700242476"/>
        <s v="232012700242477"/>
        <s v="232012700242478"/>
        <s v="232012700242479"/>
        <s v="232012700242480"/>
        <s v="232012700242481"/>
        <s v="232012700242482"/>
        <s v="232012700242483"/>
        <s v="232012700242484"/>
        <s v="232012700242485"/>
        <s v="232012700242486"/>
        <s v="232012700242487"/>
        <s v="232012700242488"/>
        <s v="232012700242489"/>
        <s v="232012700242490"/>
        <s v="232012700242491"/>
        <s v="232012700242492"/>
        <s v="232012700242493"/>
        <s v="232012700242494"/>
        <s v="232012700242495"/>
        <s v="232012700242496"/>
        <s v="232012700242497"/>
        <s v="232012700242498"/>
        <s v="232012700242499"/>
        <s v="232012700242500"/>
        <s v="232012700242501"/>
        <s v="232012700242502"/>
        <s v="234716779642472"/>
        <s v="234716779642473"/>
        <s v="234716779642474"/>
        <s v="234716779642475"/>
        <s v="234716779642476"/>
        <s v="234716779642477"/>
        <s v="234716779642478"/>
        <s v="234716779642479"/>
        <s v="234716779642480"/>
        <s v="234716779642481"/>
        <s v="234716779642482"/>
        <s v="234716779642483"/>
        <s v="234716779642484"/>
        <s v="234716779642485"/>
        <s v="234716779642486"/>
        <s v="234716779642487"/>
        <s v="234716779642488"/>
        <s v="234716779642489"/>
        <s v="287321276542472"/>
        <s v="287321276542473"/>
        <s v="287321276542474"/>
        <s v="287321276542475"/>
        <s v="287321276542476"/>
        <s v="287321276542477"/>
        <s v="287321276542478"/>
        <s v="287321276542479"/>
        <s v="287321276542480"/>
        <s v="287321276542481"/>
        <s v="287321276542482"/>
        <s v="287321276542483"/>
        <s v="287321276542484"/>
        <s v="287321276542485"/>
        <s v="287321276542486"/>
        <s v="287321276542487"/>
        <s v="287321276542488"/>
        <s v="287321276542489"/>
        <s v="287321276542490"/>
        <s v="287321276542491"/>
        <s v="287321276542492"/>
        <s v="287321276542493"/>
        <s v="287321276542494"/>
        <s v="287321276542495"/>
        <s v="287321276542496"/>
        <s v="287321276542497"/>
        <s v="287321276542498"/>
        <s v="287321276542499"/>
        <s v="287321276542500"/>
        <s v="287321276542501"/>
        <s v="287321276542502"/>
        <s v="337286816442472"/>
        <s v="337286816442473"/>
        <s v="337286816442474"/>
        <s v="337286816442475"/>
        <s v="337286816442476"/>
        <s v="337286816442477"/>
        <s v="337286816442478"/>
        <s v="337286816442479"/>
        <s v="337286816442480"/>
        <s v="337286816442481"/>
        <s v="337286816442482"/>
        <s v="337286816442483"/>
        <s v="337286816442484"/>
        <s v="337286816442485"/>
        <s v="337286816442486"/>
        <s v="337286816442487"/>
        <s v="337286816442488"/>
        <s v="337286816442489"/>
        <s v="337286816442490"/>
        <s v="337286816442491"/>
        <s v="397733371442472"/>
        <s v="397733371442473"/>
        <s v="397733371442474"/>
        <s v="397733371442475"/>
        <s v="397733371442476"/>
        <s v="397733371442477"/>
        <s v="397733371442478"/>
        <s v="397733371442479"/>
        <s v="397733371442480"/>
        <s v="397733371442481"/>
        <s v="397733371442482"/>
        <s v="397733371442483"/>
        <s v="397733371442484"/>
        <s v="397733371442485"/>
        <s v="397733371442486"/>
        <s v="397733371442487"/>
        <s v="397733371442488"/>
        <s v="397733371442489"/>
        <s v="397733371442490"/>
        <s v="397733371442491"/>
        <s v="397733371442492"/>
        <s v="397733371442493"/>
        <s v="397733371442494"/>
        <s v="397733371442495"/>
        <s v="397733371442496"/>
        <s v="397733371442497"/>
        <s v="397733371442498"/>
        <s v="397733371442499"/>
        <s v="397733371442500"/>
        <s v="397733371442501"/>
        <s v="402033265042472"/>
        <s v="402033265042473"/>
        <s v="402033265042474"/>
        <s v="402033265042475"/>
        <s v="402033265042476"/>
        <s v="402033265042477"/>
        <s v="402033265042478"/>
        <s v="402033265042479"/>
        <s v="402033265042480"/>
        <s v="402033265042481"/>
        <s v="402033265042482"/>
        <s v="402033265042483"/>
        <s v="402033265042484"/>
        <s v="402033265042485"/>
        <s v="402033265042486"/>
        <s v="402033265042487"/>
        <s v="402033265042488"/>
        <s v="402033265042489"/>
        <s v="402033265042490"/>
        <s v="402033265042491"/>
        <s v="402033265042492"/>
        <s v="402033265042493"/>
        <s v="402033265042494"/>
        <s v="402033265042495"/>
        <s v="402033265042496"/>
        <s v="402033265042497"/>
        <s v="402033265042498"/>
        <s v="402033265042499"/>
        <s v="402033265042500"/>
        <s v="402033265042501"/>
        <s v="402033265042502"/>
        <s v="405719291242472"/>
        <s v="405719291242473"/>
        <s v="405719291242474"/>
        <s v="405719291242475"/>
        <s v="431970357742472"/>
        <s v="431970357742473"/>
        <s v="431970357742474"/>
        <s v="431970357742475"/>
        <s v="431970357742476"/>
        <s v="431970357742477"/>
        <s v="431970357742478"/>
        <s v="431970357742479"/>
        <s v="431970357742480"/>
        <s v="431970357742481"/>
        <s v="431970357742482"/>
        <s v="431970357742483"/>
        <s v="431970357742484"/>
        <s v="431970357742485"/>
        <s v="431970357742486"/>
        <s v="431970357742487"/>
        <s v="431970357742488"/>
        <s v="431970357742489"/>
        <s v="431970357742490"/>
        <s v="431970357742491"/>
        <s v="431970357742492"/>
        <s v="431970357742493"/>
        <s v="431970357742494"/>
        <s v="431970357742495"/>
        <s v="431970357742496"/>
        <s v="431970357742497"/>
        <s v="431970357742498"/>
        <s v="431970357742499"/>
        <s v="431970357742500"/>
        <s v="431970357742501"/>
        <s v="431970357742502"/>
        <s v="438816184742472"/>
        <s v="438816184742473"/>
        <s v="438816184742474"/>
        <s v="438816184742475"/>
        <s v="438816184742476"/>
        <s v="438816184742477"/>
        <s v="438816184742478"/>
        <s v="438816184742479"/>
        <s v="438816184742480"/>
        <s v="438816184742481"/>
        <s v="438816184742482"/>
        <s v="438816184742483"/>
        <s v="438816184742484"/>
        <s v="438816184742485"/>
        <s v="438816184742486"/>
        <s v="438816184742487"/>
        <s v="438816184742488"/>
        <s v="438816184742489"/>
        <s v="438816184742490"/>
        <s v="438816184742491"/>
        <s v="438816184742492"/>
        <s v="438816184742493"/>
        <s v="438816184742494"/>
        <s v="438816184742495"/>
        <s v="438816184742496"/>
        <s v="438816184742497"/>
        <s v="438816184742498"/>
        <s v="438816184742499"/>
        <s v="438816184742500"/>
        <s v="438816184742501"/>
        <s v="438816184742502"/>
        <s v="444511498642472"/>
        <s v="444511498642473"/>
        <s v="444511498642474"/>
        <s v="444511498642475"/>
        <s v="444511498642476"/>
        <s v="444511498642477"/>
        <s v="444511498642478"/>
        <s v="444511498642479"/>
        <s v="444511498642480"/>
        <s v="444511498642481"/>
        <s v="444511498642482"/>
        <s v="444511498642483"/>
        <s v="444511498642484"/>
        <s v="444511498642485"/>
        <s v="444511498642486"/>
        <s v="444511498642487"/>
        <s v="444511498642488"/>
        <s v="444511498642489"/>
        <s v="444511498642490"/>
        <s v="444511498642491"/>
        <s v="444511498642492"/>
        <s v="444511498642493"/>
        <s v="444511498642494"/>
        <s v="444511498642495"/>
        <s v="444511498642496"/>
        <s v="444511498642497"/>
        <s v="444511498642498"/>
        <s v="444511498642499"/>
        <s v="444511498642500"/>
        <s v="444511498642501"/>
        <s v="444511498642502"/>
        <s v="455860992442472"/>
        <s v="455860992442473"/>
        <s v="455860992442474"/>
        <s v="455860992442475"/>
        <s v="455860992442476"/>
        <s v="455860992442477"/>
        <s v="455860992442478"/>
        <s v="455860992442479"/>
        <s v="455860992442480"/>
        <s v="455860992442481"/>
        <s v="455860992442482"/>
        <s v="455860992442483"/>
        <s v="455860992442484"/>
        <s v="455860992442485"/>
        <s v="455860992442486"/>
        <s v="455860992442487"/>
        <s v="455860992442488"/>
        <s v="455860992442489"/>
        <s v="455860992442490"/>
        <s v="455860992442491"/>
        <s v="455860992442492"/>
        <s v="455860992442493"/>
        <s v="455860992442494"/>
        <s v="455860992442495"/>
        <s v="455860992442496"/>
        <s v="455860992442497"/>
        <s v="455860992442498"/>
        <s v="455860992442499"/>
        <s v="455860992442500"/>
        <s v="455860992442501"/>
        <s v="455860992442502"/>
        <s v="470292168442472"/>
        <s v="470292168442473"/>
        <s v="470292168442474"/>
        <s v="470292168442475"/>
        <s v="470292168442476"/>
        <s v="470292168442477"/>
        <s v="470292168442478"/>
        <s v="470292168442479"/>
        <s v="470292168442480"/>
        <s v="470292168442481"/>
        <s v="470292168442482"/>
        <s v="470292168442483"/>
        <s v="470292168442484"/>
        <s v="470292168442485"/>
        <s v="470292168442486"/>
        <s v="470292168442487"/>
        <s v="470292168442488"/>
        <s v="470292168442489"/>
        <s v="470292168442490"/>
        <s v="470292168442491"/>
        <s v="470292168442492"/>
        <s v="470292168442493"/>
        <s v="470292168442494"/>
        <s v="470292168442495"/>
        <s v="470292168442496"/>
        <s v="470292168442497"/>
        <s v="470292168442498"/>
        <s v="470292168442499"/>
        <s v="470292168442500"/>
        <s v="470292168442501"/>
        <s v="470292168442502"/>
        <s v="555395744342472"/>
        <s v="555395744342473"/>
        <s v="555395744342474"/>
        <s v="555395744342475"/>
        <s v="555395744342476"/>
        <s v="555395744342477"/>
        <s v="555395744342478"/>
        <s v="555395744342479"/>
        <s v="555395744342480"/>
        <s v="555395744342481"/>
        <s v="555395744342482"/>
        <s v="555395744342483"/>
        <s v="555395744342484"/>
        <s v="555395744342485"/>
        <s v="555395744342486"/>
        <s v="555395744342487"/>
        <s v="555395744342488"/>
        <s v="555395744342489"/>
        <s v="555395744342490"/>
        <s v="555395744342491"/>
        <s v="555395744342492"/>
        <s v="555395744342493"/>
        <s v="555395744342494"/>
        <s v="555395744342495"/>
        <s v="555395744342496"/>
        <s v="555395744342497"/>
        <s v="555395744342498"/>
        <s v="555395744342499"/>
        <s v="555395744342500"/>
        <s v="555395744342501"/>
        <s v="555395744342502"/>
        <s v="557715031342472"/>
        <s v="557715031342473"/>
        <s v="557715031342474"/>
        <s v="557715031342475"/>
        <s v="557715031342476"/>
        <s v="557715031342477"/>
        <s v="557715031342478"/>
        <s v="557715031342479"/>
        <s v="557715031342480"/>
        <s v="557715031342481"/>
        <s v="557715031342482"/>
        <s v="557715031342483"/>
        <s v="557715031342484"/>
        <s v="557715031342485"/>
        <s v="557715031342486"/>
        <s v="557715031342487"/>
        <s v="557715031342488"/>
        <s v="557715031342489"/>
        <s v="557715031342490"/>
        <s v="557715031342491"/>
        <s v="557715031342492"/>
        <s v="557715031342493"/>
        <s v="557715031342494"/>
        <s v="557715031342495"/>
        <s v="557715031342496"/>
        <s v="557715031342497"/>
        <s v="557715031342498"/>
        <s v="557715031342499"/>
        <s v="557715031342500"/>
        <s v="557715031342501"/>
        <s v="611766616042472"/>
        <s v="611766616042473"/>
        <s v="611766616042474"/>
        <s v="611766616042475"/>
        <s v="611766616042476"/>
        <s v="611766616042477"/>
        <s v="611766616042478"/>
        <s v="611766616042479"/>
        <s v="611766616042480"/>
        <s v="611766616042481"/>
        <s v="611766616042482"/>
        <s v="611766616042483"/>
        <s v="611766616042484"/>
        <s v="611766616042485"/>
        <s v="611766616042486"/>
        <s v="611766616042487"/>
        <s v="611766616042488"/>
        <s v="611766616042489"/>
        <s v="611766616042490"/>
        <s v="611766616042491"/>
        <s v="611766616042492"/>
        <s v="611766616042493"/>
        <s v="611766616042494"/>
        <s v="611766616042495"/>
        <s v="611766616042496"/>
        <s v="611766616042497"/>
        <s v="611766616042498"/>
        <s v="611766616042499"/>
        <s v="629085500542472"/>
        <s v="629085500542473"/>
        <s v="629085500542474"/>
        <s v="629085500542475"/>
        <s v="629085500542476"/>
        <s v="629085500542477"/>
        <s v="629085500542478"/>
        <s v="629085500542479"/>
        <s v="629085500542480"/>
        <s v="629085500542481"/>
        <s v="629085500542482"/>
        <s v="629085500542483"/>
        <s v="629085500542484"/>
        <s v="629085500542485"/>
        <s v="629085500542486"/>
        <s v="629085500542487"/>
        <s v="629085500542488"/>
        <s v="629085500542489"/>
        <s v="629085500542490"/>
        <s v="629085500542491"/>
        <s v="629085500542492"/>
        <s v="629085500542493"/>
        <s v="629085500542494"/>
        <s v="629085500542495"/>
        <s v="629085500542496"/>
        <s v="629085500542497"/>
        <s v="629085500542498"/>
        <s v="629085500542499"/>
        <s v="629085500542500"/>
        <s v="677588895542472"/>
        <s v="677588895542473"/>
        <s v="677588895542474"/>
        <s v="677588895542475"/>
        <s v="677588895542476"/>
        <s v="677588895542477"/>
        <s v="677588895542478"/>
        <s v="677588895542479"/>
        <s v="677588895542480"/>
        <s v="677588895542481"/>
        <s v="677588895542482"/>
        <s v="677588895542483"/>
        <s v="677588895542484"/>
        <s v="677588895542485"/>
        <s v="677588895542486"/>
        <s v="677588895542487"/>
        <s v="677588895542488"/>
        <s v="677588895542489"/>
        <s v="677588895542490"/>
        <s v="677588895542491"/>
        <s v="677588895542492"/>
        <s v="677588895542493"/>
        <s v="677588895542494"/>
        <s v="677588895542495"/>
        <s v="677588895542496"/>
        <s v="677588895542497"/>
        <s v="696218106742472"/>
        <s v="696218106742473"/>
        <s v="696218106742474"/>
        <s v="696218106742475"/>
        <s v="696218106742476"/>
        <s v="696218106742477"/>
        <s v="696218106742478"/>
        <s v="696218106742479"/>
        <s v="696218106742480"/>
        <s v="696218106742481"/>
        <s v="696218106742482"/>
        <s v="696218106742483"/>
        <s v="696218106742484"/>
        <s v="696218106742485"/>
        <s v="696218106742486"/>
        <s v="696218106742487"/>
        <s v="696218106742488"/>
        <s v="696218106742489"/>
        <s v="696218106742490"/>
        <s v="696218106742491"/>
        <s v="696218106742492"/>
        <s v="696218106742493"/>
        <s v="696218106742494"/>
        <s v="696218106742495"/>
        <s v="696218106742496"/>
        <s v="696218106742497"/>
        <s v="696218106742498"/>
        <s v="696218106742499"/>
        <s v="696218106742500"/>
        <s v="696218106742501"/>
        <s v="696218106742502"/>
        <s v="700774417142472"/>
        <s v="700774417142473"/>
        <s v="700774417142474"/>
        <s v="700774417142475"/>
        <s v="700774417142476"/>
        <s v="700774417142477"/>
        <s v="700774417142478"/>
        <s v="700774417142479"/>
        <s v="700774417142480"/>
        <s v="700774417142481"/>
        <s v="700774417142482"/>
        <s v="700774417142483"/>
        <s v="700774417142484"/>
        <s v="700774417142485"/>
        <s v="700774417142486"/>
        <s v="700774417142487"/>
        <s v="700774417142488"/>
        <s v="700774417142489"/>
        <s v="700774417142490"/>
        <s v="700774417142491"/>
        <s v="700774417142492"/>
        <s v="700774417142493"/>
        <s v="700774417142494"/>
        <s v="700774417142495"/>
        <s v="700774417142496"/>
        <s v="700774417142497"/>
        <s v="708636192642472"/>
        <s v="708636192642473"/>
        <s v="708636192642474"/>
        <s v="708636192642475"/>
        <s v="708636192642476"/>
        <s v="708636192642477"/>
        <s v="708636192642478"/>
        <s v="708636192642479"/>
        <s v="708636192642480"/>
        <s v="708636192642481"/>
        <s v="708636192642482"/>
        <s v="708636192642483"/>
        <s v="708636192642484"/>
        <s v="708636192642485"/>
        <s v="708636192642486"/>
        <s v="708636192642487"/>
        <s v="708636192642488"/>
        <s v="708636192642489"/>
        <s v="708636192642490"/>
        <s v="708636192642491"/>
        <s v="708636192642492"/>
        <s v="708636192642493"/>
        <s v="708636192642494"/>
        <s v="708636192642495"/>
        <s v="708636192642496"/>
        <s v="708636192642497"/>
        <s v="708636192642498"/>
        <s v="708636192642499"/>
        <s v="708636192642500"/>
        <s v="708636192642501"/>
        <s v="708636192642502"/>
        <s v="805347532842472"/>
        <s v="805347532842473"/>
        <s v="805347532842474"/>
        <s v="805347532842475"/>
        <s v="805347532842476"/>
        <s v="805347532842477"/>
        <s v="805347532842478"/>
        <s v="805347532842479"/>
        <s v="805347532842480"/>
        <s v="805347532842481"/>
        <s v="805347532842482"/>
        <s v="805347532842483"/>
        <s v="805347532842484"/>
        <s v="805347532842485"/>
        <s v="805347532842486"/>
        <s v="805347532842487"/>
        <s v="805347532842488"/>
        <s v="805347532842489"/>
        <s v="805347532842490"/>
        <s v="805347532842491"/>
        <s v="805347532842492"/>
        <s v="805347532842493"/>
        <s v="805347532842494"/>
        <s v="805347532842495"/>
        <s v="805347532842496"/>
        <s v="805347532842497"/>
        <s v="805347532842498"/>
        <s v="805347532842499"/>
        <s v="805347532842500"/>
        <s v="805347532842501"/>
        <s v="805347532842502"/>
        <s v="825324287942472"/>
        <s v="825324287942473"/>
        <s v="825324287942474"/>
        <s v="825324287942475"/>
        <s v="825324287942476"/>
        <s v="825324287942477"/>
        <s v="825324287942478"/>
        <s v="825324287942479"/>
        <s v="825324287942480"/>
        <s v="825324287942481"/>
        <s v="825324287942482"/>
        <s v="825324287942483"/>
        <s v="825324287942484"/>
        <s v="825324287942485"/>
        <s v="825324287942486"/>
        <s v="825324287942487"/>
        <s v="825324287942488"/>
        <s v="825324287942489"/>
        <s v="825324287942490"/>
        <s v="837856320042472"/>
        <s v="837856320042473"/>
        <s v="837856320042474"/>
        <s v="837856320042475"/>
        <s v="837856320042476"/>
        <s v="837856320042477"/>
        <s v="837856320042478"/>
        <s v="837856320042479"/>
        <s v="837856320042480"/>
        <s v="837856320042481"/>
        <s v="837856320042482"/>
        <s v="837856320042483"/>
        <s v="837856320042484"/>
        <s v="837856320042485"/>
        <s v="837856320042486"/>
        <s v="837856320042487"/>
        <s v="837856320042488"/>
        <s v="837856320042489"/>
        <s v="837856320042490"/>
        <s v="837856320042491"/>
        <s v="837856320042492"/>
        <s v="837856320042493"/>
        <s v="837856320042494"/>
        <s v="837856320042495"/>
        <s v="837856320042496"/>
        <s v="837856320042497"/>
        <s v="837856320042498"/>
        <s v="837856320042499"/>
        <s v="837856320042500"/>
        <s v="837856320042501"/>
        <s v="837856320042502"/>
        <s v="858381505942472"/>
        <s v="858381505942473"/>
        <s v="858381505942474"/>
        <s v="858381505942475"/>
        <s v="858381505942476"/>
        <s v="858381505942477"/>
        <s v="858381505942478"/>
        <s v="858381505942479"/>
        <s v="858381505942480"/>
        <s v="858381505942481"/>
        <s v="858381505942482"/>
        <s v="858381505942483"/>
        <s v="858381505942484"/>
        <s v="858381505942485"/>
        <s v="858381505942486"/>
        <s v="858381505942487"/>
        <s v="858381505942488"/>
        <s v="858381505942489"/>
        <s v="858381505942490"/>
        <s v="858381505942491"/>
        <s v="858381505942492"/>
        <s v="858381505942493"/>
        <s v="858381505942494"/>
        <s v="858381505942495"/>
        <s v="858381505942496"/>
        <s v="858381505942497"/>
        <s v="858381505942498"/>
        <s v="858381505942499"/>
        <s v="858381505942500"/>
        <s v="858381505942501"/>
        <s v="858381505942502"/>
        <s v="879200966542472"/>
        <s v="879200966542473"/>
        <s v="879200966542474"/>
        <s v="879200966542475"/>
        <s v="879200966542476"/>
        <s v="879200966542477"/>
        <s v="879200966542478"/>
        <s v="879200966542479"/>
        <s v="879200966542480"/>
        <s v="879200966542481"/>
        <s v="879200966542482"/>
        <s v="879200966542483"/>
        <s v="879200966542484"/>
        <s v="879200966542485"/>
        <s v="879200966542486"/>
        <s v="879200966542487"/>
        <s v="879200966542488"/>
        <s v="879200966542489"/>
        <s v="879200966542490"/>
        <s v="879200966542491"/>
        <s v="879200966542492"/>
        <s v="879200966542493"/>
        <s v="879200966542494"/>
      </sharedItems>
    </cacheField>
    <cacheField name="TotalSteps" numFmtId="0">
      <sharedItems containsSemiMixedTypes="0" containsString="0" containsNumber="1" containsInteger="1">
        <n v="13162.0"/>
        <n v="10735.0"/>
        <n v="10460.0"/>
        <n v="9762.0"/>
        <n v="12669.0"/>
        <n v="9705.0"/>
        <n v="13019.0"/>
        <n v="15506.0"/>
        <n v="10544.0"/>
        <n v="9819.0"/>
        <n v="12764.0"/>
        <n v="14371.0"/>
        <n v="10039.0"/>
        <n v="15355.0"/>
        <n v="13755.0"/>
        <n v="18134.0"/>
        <n v="13154.0"/>
        <n v="11181.0"/>
        <n v="14673.0"/>
        <n v="10602.0"/>
        <n v="14727.0"/>
        <n v="15103.0"/>
        <n v="11100.0"/>
        <n v="14070.0"/>
        <n v="12159.0"/>
        <n v="11992.0"/>
        <n v="10060.0"/>
        <n v="12022.0"/>
        <n v="12207.0"/>
        <n v="12770.0"/>
        <n v="0.0"/>
        <n v="8163.0"/>
        <n v="7007.0"/>
        <n v="9107.0"/>
        <n v="1510.0"/>
        <n v="5370.0"/>
        <n v="6175.0"/>
        <n v="10536.0"/>
        <n v="2916.0"/>
        <n v="4974.0"/>
        <n v="6349.0"/>
        <n v="4026.0"/>
        <n v="8538.0"/>
        <n v="6076.0"/>
        <n v="6497.0"/>
        <n v="2826.0"/>
        <n v="8367.0"/>
        <n v="2759.0"/>
        <n v="2390.0"/>
        <n v="6474.0"/>
        <n v="36019.0"/>
        <n v="7155.0"/>
        <n v="2100.0"/>
        <n v="2193.0"/>
        <n v="2470.0"/>
        <n v="1727.0"/>
        <n v="2104.0"/>
        <n v="3427.0"/>
        <n v="1732.0"/>
        <n v="2969.0"/>
        <n v="3134.0"/>
        <n v="2971.0"/>
        <n v="10694.0"/>
        <n v="8001.0"/>
        <n v="11037.0"/>
        <n v="5263.0"/>
        <n v="15300.0"/>
        <n v="8757.0"/>
        <n v="7132.0"/>
        <n v="11256.0"/>
        <n v="2436.0"/>
        <n v="1223.0"/>
        <n v="3673.0"/>
        <n v="6637.0"/>
        <n v="3321.0"/>
        <n v="3580.0"/>
        <n v="9919.0"/>
        <n v="3032.0"/>
        <n v="9405.0"/>
        <n v="3176.0"/>
        <n v="18213.0"/>
        <n v="6132.0"/>
        <n v="3758.0"/>
        <n v="12850.0"/>
        <n v="2309.0"/>
        <n v="4363.0"/>
        <n v="9787.0"/>
        <n v="13372.0"/>
        <n v="6724.0"/>
        <n v="6643.0"/>
        <n v="9167.0"/>
        <n v="1329.0"/>
        <n v="6697.0"/>
        <n v="4929.0"/>
        <n v="7937.0"/>
        <n v="3844.0"/>
        <n v="3414.0"/>
        <n v="4525.0"/>
        <n v="4597.0"/>
        <n v="197.0"/>
        <n v="8.0"/>
        <n v="8054.0"/>
        <n v="5372.0"/>
        <n v="3570.0"/>
        <n v="4.0"/>
        <n v="6907.0"/>
        <n v="4920.0"/>
        <n v="4014.0"/>
        <n v="2573.0"/>
        <n v="4059.0"/>
        <n v="2080.0"/>
        <n v="2237.0"/>
        <n v="44.0"/>
        <n v="678.0"/>
        <n v="356.0"/>
        <n v="2163.0"/>
        <n v="980.0"/>
        <n v="244.0"/>
        <n v="149.0"/>
        <n v="2945.0"/>
        <n v="2090.0"/>
        <n v="152.0"/>
        <n v="3761.0"/>
        <n v="1675.0"/>
        <n v="2704.0"/>
        <n v="3790.0"/>
        <n v="1326.0"/>
        <n v="1786.0"/>
        <n v="2091.0"/>
        <n v="11875.0"/>
        <n v="12024.0"/>
        <n v="10690.0"/>
        <n v="11034.0"/>
        <n v="10100.0"/>
        <n v="15112.0"/>
        <n v="14131.0"/>
        <n v="11548.0"/>
        <n v="12453.0"/>
        <n v="12954.0"/>
        <n v="6001.0"/>
        <n v="13481.0"/>
        <n v="11369.0"/>
        <n v="10119.0"/>
        <n v="10159.0"/>
        <n v="10140.0"/>
        <n v="10245.0"/>
        <n v="18387.0"/>
        <n v="10538.0"/>
        <n v="10379.0"/>
        <n v="12183.0"/>
        <n v="11768.0"/>
        <n v="11895.0"/>
        <n v="10227.0"/>
        <n v="6708.0"/>
        <n v="3292.0"/>
        <n v="13379.0"/>
        <n v="12798.0"/>
        <n v="13272.0"/>
        <n v="9117.0"/>
        <n v="4414.0"/>
        <n v="4993.0"/>
        <n v="3335.0"/>
        <n v="3821.0"/>
        <n v="2547.0"/>
        <n v="838.0"/>
        <n v="3325.0"/>
        <n v="2424.0"/>
        <n v="7222.0"/>
        <n v="2467.0"/>
        <n v="2915.0"/>
        <n v="12357.0"/>
        <n v="3490.0"/>
        <n v="6017.0"/>
        <n v="5933.0"/>
        <n v="6088.0"/>
        <n v="6375.0"/>
        <n v="7604.0"/>
        <n v="4729.0"/>
        <n v="3609.0"/>
        <n v="7018.0"/>
        <n v="5992.0"/>
        <n v="6564.0"/>
        <n v="12167.0"/>
        <n v="8198.0"/>
        <n v="4193.0"/>
        <n v="5528.0"/>
        <n v="10685.0"/>
        <n v="254.0"/>
        <n v="8580.0"/>
        <n v="8891.0"/>
        <n v="10725.0"/>
        <n v="7275.0"/>
        <n v="3973.0"/>
        <n v="5205.0"/>
        <n v="5057.0"/>
        <n v="6198.0"/>
        <n v="6559.0"/>
        <n v="5997.0"/>
        <n v="7192.0"/>
        <n v="3404.0"/>
        <n v="5583.0"/>
        <n v="5079.0"/>
        <n v="4165.0"/>
        <n v="3588.0"/>
        <n v="3409.0"/>
        <n v="1715.0"/>
        <n v="1532.0"/>
        <n v="924.0"/>
        <n v="4571.0"/>
        <n v="772.0"/>
        <n v="3634.0"/>
        <n v="7443.0"/>
        <n v="1201.0"/>
        <n v="5202.0"/>
        <n v="4878.0"/>
        <n v="7379.0"/>
        <n v="5161.0"/>
        <n v="3090.0"/>
        <n v="6227.0"/>
        <n v="6424.0"/>
        <n v="2661.0"/>
        <n v="10113.0"/>
        <n v="10352.0"/>
        <n v="10129.0"/>
        <n v="10465.0"/>
        <n v="22244.0"/>
        <n v="5472.0"/>
        <n v="8247.0"/>
        <n v="6711.0"/>
        <n v="10999.0"/>
        <n v="10080.0"/>
        <n v="7804.0"/>
        <n v="16901.0"/>
        <n v="9471.0"/>
        <n v="9482.0"/>
        <n v="5980.0"/>
        <n v="11423.0"/>
        <n v="5439.0"/>
        <n v="42.0"/>
        <n v="8796.0"/>
        <n v="7618.0"/>
        <n v="7910.0"/>
        <n v="8482.0"/>
        <n v="9685.0"/>
        <n v="2524.0"/>
        <n v="7762.0"/>
        <n v="7948.0"/>
        <n v="9202.0"/>
        <n v="8859.0"/>
        <n v="7286.0"/>
        <n v="9317.0"/>
        <n v="6873.0"/>
        <n v="7373.0"/>
        <n v="8242.0"/>
        <n v="3516.0"/>
        <n v="7913.0"/>
        <n v="7365.0"/>
        <n v="8452.0"/>
        <n v="7399.0"/>
        <n v="7525.0"/>
        <n v="7412.0"/>
        <n v="8278.0"/>
        <n v="8314.0"/>
        <n v="7063.0"/>
        <n v="4940.0"/>
        <n v="8168.0"/>
        <n v="7726.0"/>
        <n v="8275.0"/>
        <n v="6440.0"/>
        <n v="7566.0"/>
        <n v="4747.0"/>
        <n v="9715.0"/>
        <n v="8844.0"/>
        <n v="7451.0"/>
        <n v="6905.0"/>
        <n v="8199.0"/>
        <n v="6798.0"/>
        <n v="7711.0"/>
        <n v="4880.0"/>
        <n v="8857.0"/>
        <n v="3843.0"/>
        <n v="7396.0"/>
        <n v="6731.0"/>
        <n v="5995.0"/>
        <n v="8283.0"/>
        <n v="7904.0"/>
        <n v="5512.0"/>
        <n v="9135.0"/>
        <n v="5250.0"/>
        <n v="3077.0"/>
        <n v="8856.0"/>
        <n v="10035.0"/>
        <n v="7641.0"/>
        <n v="9010.0"/>
        <n v="13459.0"/>
        <n v="10415.0"/>
        <n v="11663.0"/>
        <n v="12414.0"/>
        <n v="11658.0"/>
        <n v="6093.0"/>
        <n v="8911.0"/>
        <n v="12058.0"/>
        <n v="14112.0"/>
        <n v="11177.0"/>
        <n v="11388.0"/>
        <n v="7193.0"/>
        <n v="7114.0"/>
        <n v="10645.0"/>
        <n v="13238.0"/>
        <n v="10414.0"/>
        <n v="16520.0"/>
        <n v="14335.0"/>
        <n v="13559.0"/>
        <n v="12312.0"/>
        <n v="11677.0"/>
        <n v="11550.0"/>
        <n v="13585.0"/>
        <n v="14687.0"/>
        <n v="13072.0"/>
        <n v="746.0"/>
        <n v="8539.0"/>
        <n v="108.0"/>
        <n v="1882.0"/>
        <n v="1982.0"/>
        <n v="16.0"/>
        <n v="62.0"/>
        <n v="475.0"/>
        <n v="4496.0"/>
        <n v="10252.0"/>
        <n v="11728.0"/>
        <n v="4369.0"/>
        <n v="5862.0"/>
        <n v="4556.0"/>
        <n v="5546.0"/>
        <n v="3689.0"/>
        <n v="590.0"/>
        <n v="5394.0"/>
        <n v="5974.0"/>
        <n v="3984.0"/>
        <n v="7753.0"/>
        <n v="8204.0"/>
        <n v="10210.0"/>
        <n v="5664.0"/>
        <n v="4744.0"/>
        <n v="29.0"/>
        <n v="2276.0"/>
        <n v="8925.0"/>
        <n v="8954.0"/>
        <n v="3702.0"/>
        <n v="4500.0"/>
        <n v="4935.0"/>
        <n v="4081.0"/>
        <n v="9259.0"/>
        <n v="9899.0"/>
        <n v="10780.0"/>
        <n v="10817.0"/>
        <n v="7990.0"/>
        <n v="8221.0"/>
        <n v="1251.0"/>
        <n v="9261.0"/>
        <n v="9648.0"/>
        <n v="10429.0"/>
        <n v="13658.0"/>
        <n v="9524.0"/>
        <n v="3672.0"/>
        <n v="10378.0"/>
        <n v="9487.0"/>
        <n v="9129.0"/>
        <n v="17.0"/>
        <n v="10122.0"/>
        <n v="10993.0"/>
        <n v="8863.0"/>
        <n v="8758.0"/>
        <n v="6580.0"/>
        <n v="4660.0"/>
        <n v="11009.0"/>
        <n v="10181.0"/>
        <n v="10553.0"/>
        <n v="10055.0"/>
        <n v="12139.0"/>
        <n v="13236.0"/>
        <n v="10243.0"/>
        <n v="12961.0"/>
        <n v="9461.0"/>
        <n v="11193.0"/>
        <n v="10074.0"/>
        <n v="9232.0"/>
        <n v="12533.0"/>
        <n v="10255.0"/>
        <n v="10096.0"/>
        <n v="12727.0"/>
        <n v="12375.0"/>
        <n v="9603.0"/>
        <n v="13175.0"/>
        <n v="22770.0"/>
        <n v="17298.0"/>
        <n v="10218.0"/>
        <n v="10299.0"/>
        <n v="10201.0"/>
        <n v="3369.0"/>
        <n v="3276.0"/>
        <n v="2961.0"/>
        <n v="3974.0"/>
        <n v="7198.0"/>
        <n v="3945.0"/>
        <n v="2268.0"/>
        <n v="6155.0"/>
        <n v="2064.0"/>
        <n v="2072.0"/>
        <n v="3809.0"/>
        <n v="6831.0"/>
        <n v="5002.0"/>
        <n v="3385.0"/>
        <n v="6326.0"/>
        <n v="7243.0"/>
        <n v="4493.0"/>
        <n v="4676.0"/>
        <n v="6222.0"/>
        <n v="5232.0"/>
        <n v="6910.0"/>
        <n v="7502.0"/>
        <n v="2923.0"/>
        <n v="3800.0"/>
        <n v="4514.0"/>
        <n v="5183.0"/>
        <n v="7303.0"/>
        <n v="5275.0"/>
        <n v="3915.0"/>
        <n v="9105.0"/>
        <n v="768.0"/>
        <n v="5135.0"/>
        <n v="4978.0"/>
        <n v="6799.0"/>
        <n v="7795.0"/>
        <n v="7289.0"/>
        <n v="9634.0"/>
        <n v="8940.0"/>
        <n v="5401.0"/>
        <n v="4803.0"/>
        <n v="13743.0"/>
        <n v="9601.0"/>
        <n v="6890.0"/>
        <n v="8563.0"/>
        <n v="8095.0"/>
        <n v="9148.0"/>
        <n v="9557.0"/>
        <n v="9451.0"/>
        <n v="7833.0"/>
        <n v="10319.0"/>
        <n v="3428.0"/>
        <n v="7891.0"/>
        <n v="5267.0"/>
        <n v="10611.0"/>
        <n v="3755.0"/>
        <n v="8237.0"/>
        <n v="6543.0"/>
        <n v="11451.0"/>
        <n v="6435.0"/>
        <n v="9108.0"/>
        <n v="6307.0"/>
        <n v="7213.0"/>
        <n v="6877.0"/>
        <n v="7860.0"/>
        <n v="6506.0"/>
        <n v="11140.0"/>
        <n v="12692.0"/>
        <n v="8793.0"/>
        <n v="6530.0"/>
        <n v="1664.0"/>
        <n v="15126.0"/>
        <n v="15050.0"/>
        <n v="6108.0"/>
        <n v="7047.0"/>
        <n v="9023.0"/>
        <n v="9930.0"/>
        <n v="10144.0"/>
        <n v="7245.0"/>
        <n v="9454.0"/>
        <n v="8161.0"/>
        <n v="8614.0"/>
        <n v="6943.0"/>
        <n v="14370.0"/>
        <n v="12857.0"/>
        <n v="8232.0"/>
        <n v="10613.0"/>
        <n v="9810.0"/>
        <n v="2752.0"/>
        <n v="11596.0"/>
        <n v="4832.0"/>
        <n v="17022.0"/>
        <n v="16556.0"/>
        <n v="5771.0"/>
        <n v="655.0"/>
        <n v="3727.0"/>
        <n v="15482.0"/>
        <n v="2713.0"/>
        <n v="12346.0"/>
        <n v="11682.0"/>
        <n v="4112.0"/>
        <n v="1807.0"/>
        <n v="10946.0"/>
        <n v="11886.0"/>
        <n v="11393.0"/>
        <n v="1202.0"/>
        <n v="5164.0"/>
        <n v="9769.0"/>
        <n v="12848.0"/>
        <n v="4249.0"/>
        <n v="14331.0"/>
        <n v="9632.0"/>
        <n v="1868.0"/>
        <n v="6083.0"/>
        <n v="11611.0"/>
        <n v="16358.0"/>
        <n v="4926.0"/>
        <n v="3121.0"/>
        <n v="8135.0"/>
        <n v="5077.0"/>
        <n v="8596.0"/>
        <n v="12087.0"/>
        <n v="14269.0"/>
        <n v="12231.0"/>
        <n v="9893.0"/>
        <n v="12574.0"/>
        <n v="8330.0"/>
        <n v="10830.0"/>
        <n v="9172.0"/>
        <n v="7638.0"/>
        <n v="15764.0"/>
        <n v="6393.0"/>
        <n v="5325.0"/>
        <n v="6805.0"/>
        <n v="9841.0"/>
        <n v="7924.0"/>
        <n v="12363.0"/>
        <n v="13368.0"/>
        <n v="7439.0"/>
        <n v="11045.0"/>
        <n v="5206.0"/>
        <n v="7550.0"/>
        <n v="4950.0"/>
        <n v="3421.0"/>
        <n v="8869.0"/>
        <n v="4038.0"/>
        <n v="14019.0"/>
        <n v="14450.0"/>
        <n v="7150.0"/>
        <n v="5153.0"/>
        <n v="11135.0"/>
        <n v="10449.0"/>
        <n v="19542.0"/>
        <n v="8206.0"/>
        <n v="11495.0"/>
        <n v="7623.0"/>
        <n v="9543.0"/>
        <n v="9411.0"/>
        <n v="3403.0"/>
        <n v="9592.0"/>
        <n v="6987.0"/>
        <n v="8915.0"/>
        <n v="4933.0"/>
        <n v="2997.0"/>
        <n v="9799.0"/>
        <n v="3365.0"/>
        <n v="7336.0"/>
        <n v="7328.0"/>
        <n v="4477.0"/>
        <n v="4562.0"/>
        <n v="7142.0"/>
        <n v="7671.0"/>
        <n v="9501.0"/>
        <n v="8301.0"/>
        <n v="7851.0"/>
        <n v="6885.0"/>
        <n v="6361.0"/>
        <n v="6238.0"/>
        <n v="5896.0"/>
        <n v="7802.0"/>
        <n v="5565.0"/>
        <n v="5731.0"/>
        <n v="6744.0"/>
        <n v="9837.0"/>
        <n v="6781.0"/>
        <n v="6047.0"/>
        <n v="5832.0"/>
        <n v="6339.0"/>
        <n v="6116.0"/>
        <n v="5510.0"/>
        <n v="7706.0"/>
        <n v="6277.0"/>
        <n v="4053.0"/>
        <n v="5162.0"/>
        <n v="1282.0"/>
        <n v="4732.0"/>
        <n v="2497.0"/>
        <n v="8294.0"/>
        <n v="10771.0"/>
        <n v="637.0"/>
        <n v="2153.0"/>
        <n v="7091.0"/>
        <n v="703.0"/>
        <n v="2503.0"/>
        <n v="2487.0"/>
        <n v="9.0"/>
        <n v="4697.0"/>
        <n v="1967.0"/>
        <n v="10199.0"/>
        <n v="5652.0"/>
        <n v="1551.0"/>
        <n v="5563.0"/>
        <n v="13217.0"/>
        <n v="10145.0"/>
        <n v="11404.0"/>
        <n v="10742.0"/>
        <n v="13928.0"/>
        <n v="11835.0"/>
        <n v="20031.0"/>
        <n v="5029.0"/>
        <n v="13239.0"/>
        <n v="10433.0"/>
        <n v="10320.0"/>
        <n v="12627.0"/>
        <n v="10762.0"/>
        <n v="10081.0"/>
        <n v="5454.0"/>
        <n v="12912.0"/>
        <n v="12109.0"/>
        <n v="10147.0"/>
        <n v="10524.0"/>
        <n v="5908.0"/>
        <n v="6815.0"/>
        <n v="4188.0"/>
        <n v="12342.0"/>
        <n v="15448.0"/>
        <n v="6722.0"/>
        <n v="3587.0"/>
        <n v="14172.0"/>
        <n v="12862.0"/>
        <n v="11179.0"/>
        <n v="5273.0"/>
        <n v="4631.0"/>
        <n v="8059.0"/>
        <n v="14816.0"/>
        <n v="14194.0"/>
        <n v="15566.0"/>
        <n v="13744.0"/>
        <n v="15299.0"/>
        <n v="8093.0"/>
        <n v="11085.0"/>
        <n v="18229.0"/>
        <n v="15090.0"/>
        <n v="13541.0"/>
        <n v="15128.0"/>
        <n v="20067.0"/>
        <n v="5600.0"/>
        <n v="13041.0"/>
        <n v="14510.0"/>
        <n v="15010.0"/>
        <n v="11459.0"/>
        <n v="11317.0"/>
        <n v="5813.0"/>
        <n v="9123.0"/>
        <n v="8585.0"/>
        <n v="31.0"/>
        <n v="9827.0"/>
        <n v="10688.0"/>
        <n v="14365.0"/>
        <n v="9469.0"/>
        <n v="9753.0"/>
        <n v="2817.0"/>
        <n v="3520.0"/>
        <n v="10091.0"/>
        <n v="10387.0"/>
        <n v="11107.0"/>
        <n v="11584.0"/>
        <n v="7881.0"/>
        <n v="14560.0"/>
        <n v="12390.0"/>
        <n v="10052.0"/>
        <n v="10288.0"/>
        <n v="10988.0"/>
        <n v="8564.0"/>
        <n v="12461.0"/>
        <n v="12827.0"/>
        <n v="10677.0"/>
        <n v="13566.0"/>
        <n v="14433.0"/>
        <n v="9572.0"/>
        <n v="3789.0"/>
        <n v="18060.0"/>
        <n v="16433.0"/>
        <n v="20159.0"/>
        <n v="20669.0"/>
        <n v="14549.0"/>
        <n v="18827.0"/>
        <n v="17076.0"/>
        <n v="15929.0"/>
        <n v="15108.0"/>
        <n v="16057.0"/>
        <n v="10520.0"/>
        <n v="22359.0"/>
        <n v="22988.0"/>
        <n v="20500.0"/>
        <n v="12685.0"/>
        <n v="12422.0"/>
        <n v="15447.0"/>
        <n v="12315.0"/>
        <n v="7135.0"/>
        <n v="1170.0"/>
        <n v="1969.0"/>
        <n v="15484.0"/>
        <n v="14581.0"/>
        <n v="14990.0"/>
        <n v="13953.0"/>
        <n v="19769.0"/>
        <n v="22026.0"/>
        <n v="12465.0"/>
        <n v="14810.0"/>
        <n v="12209.0"/>
        <n v="4998.0"/>
        <n v="9033.0"/>
        <n v="8053.0"/>
        <n v="5234.0"/>
        <n v="2672.0"/>
        <n v="9256.0"/>
        <n v="10204.0"/>
        <n v="5151.0"/>
        <n v="4212.0"/>
        <n v="6466.0"/>
        <n v="11268.0"/>
        <n v="2824.0"/>
        <n v="9282.0"/>
        <n v="8905.0"/>
        <n v="6829.0"/>
        <n v="10232.0"/>
        <n v="2718.0"/>
        <n v="6260.0"/>
        <n v="7626.0"/>
        <n v="12386.0"/>
        <n v="13318.0"/>
        <n v="14461.0"/>
        <n v="11207.0"/>
        <n v="2132.0"/>
        <n v="13630.0"/>
        <n v="13070.0"/>
        <n v="9388.0"/>
        <n v="15148.0"/>
        <n v="12200.0"/>
        <n v="5709.0"/>
        <n v="3703.0"/>
        <n v="12405.0"/>
        <n v="16208.0"/>
        <n v="7359.0"/>
        <n v="5417.0"/>
        <n v="2946.0"/>
        <n v="11419.0"/>
        <n v="6064.0"/>
        <n v="8712.0"/>
        <n v="7875.0"/>
        <n v="8567.0"/>
        <n v="7045.0"/>
        <n v="4468.0"/>
        <n v="2943.0"/>
        <n v="8382.0"/>
        <n v="6582.0"/>
        <n v="9143.0"/>
        <n v="4561.0"/>
        <n v="5014.0"/>
        <n v="5571.0"/>
        <n v="3135.0"/>
        <n v="3430.0"/>
        <n v="5319.0"/>
        <n v="3008.0"/>
        <n v="3864.0"/>
        <n v="5697.0"/>
        <n v="8687.0"/>
        <n v="9423.0"/>
        <n v="8286.0"/>
        <n v="4503.0"/>
        <n v="10499.0"/>
        <n v="12474.0"/>
        <n v="6174.0"/>
        <n v="15168.0"/>
        <n v="10085.0"/>
        <n v="4512.0"/>
        <n v="8469.0"/>
        <n v="12015.0"/>
        <n v="12427.0"/>
        <n v="5843.0"/>
        <n v="6117.0"/>
        <n v="9217.0"/>
        <n v="9877.0"/>
        <n v="8240.0"/>
        <n v="8701.0"/>
        <n v="2564.0"/>
        <n v="1320.0"/>
        <n v="1219.0"/>
        <n v="2483.0"/>
        <n v="3147.0"/>
        <n v="144.0"/>
        <n v="4068.0"/>
        <n v="5245.0"/>
        <n v="400.0"/>
        <n v="1321.0"/>
        <n v="1758.0"/>
        <n v="6157.0"/>
        <n v="8360.0"/>
        <n v="7174.0"/>
        <n v="1619.0"/>
        <n v="1831.0"/>
        <n v="2421.0"/>
        <n v="2283.0"/>
      </sharedItems>
    </cacheField>
    <cacheField name="Activity Level" numFmtId="0">
      <sharedItems containsBlank="1">
        <s v="HIGH"/>
        <m/>
        <s v="MEDIUM"/>
        <s v="LOW"/>
      </sharedItems>
    </cacheField>
    <cacheField name="TotalSleepHours">
      <sharedItems containsDate="1" containsMixedTypes="1">
        <d v="1899-12-30T05:27:00Z"/>
        <d v="1899-12-30T06:24:00Z"/>
        <e v="#N/A"/>
        <d v="1899-12-30T06:52:00Z"/>
        <d v="1899-12-30T05:40:00Z"/>
        <d v="1899-12-30T11:40:00Z"/>
        <d v="1899-12-30T05:04:00Z"/>
        <d v="1899-12-30T06:00:00Z"/>
        <d v="1899-12-30T05:25:00Z"/>
        <d v="1899-12-30T06:01:00Z"/>
        <d v="1899-12-30T07:10:00Z"/>
        <d v="1899-12-30T04:37:00Z"/>
        <d v="1899-12-30T04:05:00Z"/>
        <d v="1899-12-30T06:06:00Z"/>
        <d v="1899-12-30T05:41:00Z"/>
        <d v="1899-12-30T06:44:00Z"/>
        <d v="1899-12-30T06:09:00Z"/>
        <d v="1899-12-30T04:33:00Z"/>
        <d v="1899-12-30T04:07:00Z"/>
        <d v="1899-12-30T05:34:00Z"/>
        <d v="1899-12-30T05:31:00Z"/>
        <d v="1899-12-30T09:54:00Z"/>
        <d v="1899-12-30T05:38:00Z"/>
        <d v="1899-12-30T06:23:00Z"/>
        <d v="1899-12-30T04:45:00Z"/>
        <d v="1899-12-30T01:59:00Z"/>
        <d v="1899-12-30T02:04:00Z"/>
        <d v="1899-12-30T13:16:00Z"/>
        <d v="1899-12-30T02:17:00Z"/>
        <d v="1899-12-30T10:44:00Z"/>
        <d v="1899-12-30T12:02:00Z"/>
        <d v="1899-12-30T09:50:00Z"/>
        <d v="1899-12-30T12:30:00Z"/>
        <d v="1899-12-30T06:38:00Z"/>
        <d v="1899-12-30T07:55:00Z"/>
        <d v="1899-12-30T04:56:00Z"/>
        <d v="1899-12-30T02:46:00Z"/>
        <d v="1899-12-30T08:23:00Z"/>
        <d v="1899-12-30T08:51:00Z"/>
        <d v="1899-12-30T09:05:00Z"/>
        <d v="1899-12-30T08:43:00Z"/>
        <d v="1899-12-30T08:44:00Z"/>
        <d v="1899-12-30T07:17:00Z"/>
        <d v="1899-12-30T08:18:00Z"/>
        <d v="1899-12-30T07:41:00Z"/>
        <d v="1899-12-30T07:57:00Z"/>
        <d v="1899-12-30T08:40:00Z"/>
        <d v="1899-12-30T08:42:00Z"/>
        <d v="1899-12-30T09:15:00Z"/>
        <d v="1899-12-30T08:26:00Z"/>
        <d v="1899-12-30T08:28:00Z"/>
        <d v="1899-12-30T08:33:00Z"/>
        <d v="1899-12-30T08:10:00Z"/>
        <d v="1899-12-30T09:33:00Z"/>
        <d v="1899-12-30T08:47:00Z"/>
        <d v="1899-12-30T08:31:00Z"/>
        <d v="1899-12-30T08:58:00Z"/>
        <d v="1899-12-30T07:48:00Z"/>
        <d v="1899-12-30T09:01:00Z"/>
        <d v="1899-12-30T05:57:00Z"/>
        <d v="1899-12-30T07:36:00Z"/>
        <d v="1899-12-30T01:01:00Z"/>
        <d v="1899-12-30T07:47:00Z"/>
        <d v="1899-12-30T07:25:00Z"/>
        <d v="1899-12-30T07:32:00Z"/>
        <d v="1899-12-30T09:16:00Z"/>
        <d v="1899-12-30T08:20:00Z"/>
        <d v="1899-12-30T07:45:00Z"/>
        <d v="1899-12-30T07:40:00Z"/>
        <d v="1899-12-30T06:45:00Z"/>
        <d v="1899-12-30T06:14:00Z"/>
        <d v="1899-12-30T07:22:00Z"/>
        <d v="1899-12-30T07:13:00Z"/>
        <d v="1899-12-30T07:16:00Z"/>
        <d v="1899-12-30T07:28:00Z"/>
        <d v="1899-12-30T06:48:00Z"/>
        <d v="1899-12-30T06:51:00Z"/>
        <d v="1899-12-30T04:34:00Z"/>
        <d v="1899-12-30T04:55:00Z"/>
        <d v="1899-12-30T04:51:00Z"/>
        <d v="1899-12-30T07:04:00Z"/>
        <d v="1899-12-30T04:43:00Z"/>
        <d v="1899-12-30T06:21:00Z"/>
        <d v="1899-12-30T03:39:00Z"/>
        <d v="1899-12-30T02:32:00Z"/>
        <d v="1899-12-30T05:32:00Z"/>
        <d v="1899-12-30T05:55:00Z"/>
        <d v="1899-12-30T03:55:00Z"/>
        <d v="1899-12-30T05:10:00Z"/>
        <d v="1899-12-30T04:22:00Z"/>
        <d v="1899-12-30T04:10:00Z"/>
        <d v="1899-12-30T05:49:00Z"/>
        <d v="1899-12-30T04:21:00Z"/>
        <d v="1899-12-30T05:33:00Z"/>
        <d v="1899-12-30T03:57:00Z"/>
        <d v="1899-12-30T03:50:00Z"/>
        <d v="1899-12-30T04:52:00Z"/>
        <d v="1899-12-30T03:33:00Z"/>
        <d v="1899-12-30T05:18:00Z"/>
        <d v="1899-12-30T05:23:00Z"/>
        <d v="1899-12-30T04:19:00Z"/>
        <d v="1899-12-30T05:12:00Z"/>
        <d v="1899-12-30T08:21:00Z"/>
        <d v="1899-12-30T01:17:00Z"/>
        <d v="1899-12-30T05:22:00Z"/>
        <d v="1899-12-30T07:58:00Z"/>
        <d v="1899-12-30T03:46:00Z"/>
        <d v="1899-12-30T06:25:00Z"/>
        <d v="1899-12-30T06:04:00Z"/>
        <d v="1899-12-30T08:55:00Z"/>
        <d v="1899-12-30T08:35:00Z"/>
        <d v="1899-12-30T00:59:00Z"/>
        <d v="1899-12-30T08:53:00Z"/>
        <d v="1899-12-30T11:32:00Z"/>
        <d v="1899-12-30T08:08:00Z"/>
        <d v="1899-12-30T08:25:00Z"/>
        <d v="1899-12-30T04:46:00Z"/>
        <d v="1899-12-30T08:17:00Z"/>
        <d v="1899-12-30T08:04:00Z"/>
        <d v="1899-12-30T07:54:00Z"/>
        <d v="1899-12-30T07:30:00Z"/>
        <d v="1899-12-30T08:27:00Z"/>
        <d v="1899-12-30T10:02:00Z"/>
        <d v="1899-12-30T08:07:00Z"/>
        <d v="1899-12-30T08:49:00Z"/>
        <d v="1899-12-30T05:02:00Z"/>
        <d v="1899-12-30T08:19:00Z"/>
        <d v="1899-12-30T07:06:00Z"/>
        <d v="1899-12-30T10:19:00Z"/>
        <d v="1899-12-30T01:39:00Z"/>
        <d v="1899-12-30T05:29:00Z"/>
        <d v="1899-12-30T07:01:00Z"/>
        <d v="1899-12-30T01:22:00Z"/>
        <d v="1899-12-30T09:12:00Z"/>
        <d v="1899-12-30T05:19:00Z"/>
        <d v="1899-12-30T07:19:00Z"/>
        <d v="1899-12-30T07:08:00Z"/>
        <d v="1899-12-30T06:49:00Z"/>
        <d v="1899-12-30T09:07:00Z"/>
        <d v="1899-12-30T06:08:00Z"/>
        <d v="1899-12-30T06:30:00Z"/>
        <d v="1899-12-30T07:51:00Z"/>
        <d v="1899-12-30T07:52:00Z"/>
        <d v="1899-12-30T01:02:00Z"/>
        <d v="1899-12-30T05:54:00Z"/>
        <d v="1899-12-30T07:49:00Z"/>
        <d v="1899-12-30T07:09:00Z"/>
        <d v="1899-12-30T06:10:00Z"/>
        <d v="1899-12-30T07:21:00Z"/>
        <d v="1899-12-30T05:37:00Z"/>
        <d v="1899-12-30T07:42:00Z"/>
        <d v="1899-12-30T01:38:00Z"/>
        <d v="1899-12-30T06:28:00Z"/>
        <d v="1899-12-30T05:28:00Z"/>
        <d v="1899-12-30T05:53:00Z"/>
        <d v="1899-12-30T06:59:00Z"/>
        <d v="1899-12-30T01:46:00Z"/>
        <d v="1899-12-30T08:22:00Z"/>
        <d v="1899-12-30T06:57:00Z"/>
        <d v="1899-12-30T06:41:00Z"/>
        <d v="1899-12-30T07:37:00Z"/>
        <d v="1899-12-30T08:03:00Z"/>
        <d v="1899-12-30T02:06:00Z"/>
        <d v="1899-12-30T01:43:00Z"/>
        <d v="1899-12-30T02:51:00Z"/>
        <d v="1899-12-30T01:55:00Z"/>
        <d v="1899-12-30T02:03:00Z"/>
        <d v="1899-12-30T07:05:00Z"/>
        <d v="1899-12-30T06:40:00Z"/>
        <d v="1899-12-30T04:13:00Z"/>
        <d v="1899-12-30T06:22:00Z"/>
        <d v="1899-12-30T09:51:00Z"/>
        <d v="1899-12-30T04:53:00Z"/>
        <d v="1899-12-30T07:34:00Z"/>
        <d v="1899-12-30T08:00:00Z"/>
        <d v="1899-12-30T07:12:00Z"/>
        <d v="1899-12-30T07:59:00Z"/>
        <d v="1899-12-30T06:54:00Z"/>
        <d v="1899-12-30T07:15:00Z"/>
        <d v="1899-12-30T06:56:00Z"/>
        <d v="1899-12-30T07:35:00Z"/>
        <d v="1899-12-30T06:17:00Z"/>
        <d v="1899-12-30T10:51:00Z"/>
        <d v="1899-12-30T05:50:00Z"/>
        <d v="1899-12-30T10:58:00Z"/>
        <d v="1899-12-30T06:39:00Z"/>
        <d v="1899-12-30T10:31:00Z"/>
        <d v="1899-12-30T09:13:00Z"/>
        <d v="1899-12-30T05:47:00Z"/>
        <d v="1899-12-30T12:55:00Z"/>
        <d v="1899-12-30T10:22:00Z"/>
        <d v="1899-12-30T06:20:00Z"/>
        <d v="1899-12-30T07:27:00Z"/>
        <d v="1899-12-30T09:28:00Z"/>
        <d v="1899-12-30T07:33:00Z"/>
        <d v="1899-12-30T06:58:00Z"/>
        <d v="1899-12-30T07:43:00Z"/>
        <d v="1899-12-30T07:18:00Z"/>
        <d v="1899-12-30T06:32:00Z"/>
        <d v="1899-12-30T06:46:00Z"/>
        <d v="1899-12-30T09:09:00Z"/>
        <d v="1899-12-30T07:29:00Z"/>
        <d v="1899-12-30T09:03:00Z"/>
        <d v="1899-12-30T07:39:00Z"/>
        <d v="1899-12-30T06:19:00Z"/>
        <d v="1899-12-30T08:45:00Z"/>
        <d v="1899-12-30T10:03:00Z"/>
        <d v="1899-12-30T01:14:00Z"/>
        <d v="1899-12-30T08:24:00Z"/>
        <d v="1899-12-30T07:11:00Z"/>
        <d v="1899-12-30T05:36:00Z"/>
        <d v="1899-12-30T08:13:00Z"/>
        <d v="1899-12-30T08:12:00Z"/>
        <d v="1899-12-30T09:02:00Z"/>
        <d v="1899-12-30T06:33:00Z"/>
        <d v="1899-12-30T10:00:00Z"/>
        <d v="1899-12-30T07:03:00Z"/>
        <d v="1899-12-30T06:31:00Z"/>
        <d v="1899-12-30T10:30:00Z"/>
        <d v="1899-12-30T07:07:00Z"/>
        <d v="1899-12-30T07:56:00Z"/>
        <d v="1899-12-30T07:31:00Z"/>
        <d v="1899-12-30T08:48:00Z"/>
        <d v="1899-12-30T07:20:00Z"/>
        <d v="1899-12-30T07:02:00Z"/>
        <d v="1899-12-30T07:46:00Z"/>
        <d v="1899-12-30T06:34:00Z"/>
        <d v="1899-12-30T07:23:00Z"/>
        <d v="1899-12-30T04:58:00Z"/>
        <d v="1899-12-30T08:09:00Z"/>
        <d v="1899-12-30T08:36:00Z"/>
        <d v="1899-12-30T01:19:00Z"/>
        <d v="1899-12-30T00:58:00Z"/>
        <d v="1899-12-30T08:34:00Z"/>
        <d v="1899-12-30T11:21:00Z"/>
        <d v="1899-12-30T07:26:00Z"/>
        <d v="1899-12-30T08:05:00Z"/>
        <d v="1899-12-30T07:00:00Z"/>
        <d v="1899-12-30T08:50:00Z"/>
        <d v="1899-12-30T08:01:00Z"/>
        <d v="1899-12-30T07:24:00Z"/>
        <d v="1899-12-30T08:06:00Z"/>
        <d v="1899-12-30T10:11:00Z"/>
        <d v="1899-12-30T06:27:00Z"/>
        <d v="1899-12-30T06:36:00Z"/>
        <d v="1899-12-30T09:25:00Z"/>
        <d v="1899-12-30T07:38:00Z"/>
        <d v="1899-12-30T09:10:00Z"/>
        <d v="1899-12-30T05:51:00Z"/>
        <d v="1899-12-30T05:59:00Z"/>
        <d v="1899-12-30T05:42:00Z"/>
        <d v="1899-12-30T08:16:00Z"/>
        <d v="1899-12-30T06:03:00Z"/>
        <d v="1899-12-30T05:39:00Z"/>
        <d v="1899-12-30T06:42:00Z"/>
        <d v="1899-12-30T05:43:00Z"/>
        <d v="1899-12-30T06:55:00Z"/>
      </sharedItems>
    </cacheField>
    <cacheField name="SleepEfficiency" numFmtId="10">
      <sharedItems containsString="0" containsBlank="1" containsNumber="1">
        <n v="0.9450867052023122"/>
        <n v="0.9434889434889435"/>
        <m/>
        <n v="0.9321266968325792"/>
        <n v="0.9264305177111717"/>
        <n v="0.9831460674157303"/>
        <n v="0.95"/>
        <n v="0.9549071618037135"/>
        <n v="0.8928571428571429"/>
        <n v="0.9401041666666666"/>
        <n v="0.9576837416481069"/>
        <n v="0.8575851393188855"/>
        <n v="0.8941605839416058"/>
        <n v="0.9312977099236641"/>
        <n v="0.963276836158192"/>
        <n v="0.9505882352941176"/>
        <n v="0.9318181818181818"/>
        <n v="0.8964401294498382"/>
        <n v="0.9222972972972973"/>
        <n v="0.9356060606060606"/>
        <n v="0.9100817438692098"/>
        <n v="0.9484240687679083"/>
        <n v="0.972176759410802"/>
        <n v="0.9883040935672515"/>
        <n v="0.9503722084367245"/>
        <n v="0.9313725490196079"/>
        <n v="0.937007874015748"/>
        <n v="0.8732394366197183"/>
        <n v="0.8283038501560874"/>
        <n v="0.8896103896103896"/>
        <n v="0.6701352757544224"/>
        <n v="0.7513007284079084"/>
        <n v="0.6139438085327783"/>
        <n v="0.967741935483871"/>
        <n v="0.943127962085308"/>
        <n v="0.9519038076152304"/>
        <n v="0.9396825396825397"/>
        <n v="0.9325842696629213"/>
        <n v="0.9212454212454212"/>
        <n v="0.9398230088495575"/>
        <n v="0.9595070422535211"/>
        <n v="0.912739965095986"/>
        <n v="0.9241622574955908"/>
        <n v="0.8775100401606426"/>
        <n v="0.9222222222222223"/>
        <n v="0.903921568627451"/>
        <n v="0.9280155642023347"/>
        <n v="0.9541284403669725"/>
        <n v="0.9422382671480144"/>
        <n v="0.9390862944162437"/>
        <n v="0.9529190207156308"/>
        <n v="0.9321100917431193"/>
        <n v="0.9412844036697248"/>
        <n v="0.9607843137254902"/>
        <n v="0.943986820428336"/>
        <n v="0.9652014652014652"/>
        <n v="0.9410681399631676"/>
        <n v="0.9607142857142857"/>
        <n v="0.9649484536082474"/>
        <n v="0.9562043795620438"/>
        <n v="0.980806142034549"/>
        <n v="0.9524647887323944"/>
        <n v="0.9550359712230215"/>
        <n v="0.9394736842105263"/>
        <n v="0.945750452079566"/>
        <n v="0.9402061855670103"/>
        <n v="0.8840579710144928"/>
        <n v="0.879472693032015"/>
        <n v="0.9100204498977505"/>
        <n v="0.8968253968253969"/>
        <n v="0.9235880398671097"/>
        <n v="0.8976660682226212"/>
        <n v="0.9046692607003891"/>
        <n v="0.9504132231404959"/>
        <n v="0.8785249457700651"/>
        <n v="0.9689119170984456"/>
        <n v="0.9629629629629629"/>
        <n v="0.9193205944798302"/>
        <n v="0.889795918367347"/>
        <n v="0.8977955911823647"/>
        <n v="0.9066666666666666"/>
        <n v="0.86892177589852"/>
        <n v="0.5842217484008528"/>
        <n v="0.6469298245614035"/>
        <n v="0.7329974811083123"/>
        <n v="0.762589928057554"/>
        <n v="0.5549019607843138"/>
        <n v="0.6731448763250883"/>
        <n v="0.789272030651341"/>
        <n v="0.5544303797468354"/>
        <n v="0.49836065573770494"/>
        <n v="0.6484375"/>
        <n v="0.7457983193277311"/>
        <n v="0.6317204301075269"/>
        <n v="0.5893536121673004"/>
        <n v="0.5610278372591007"/>
        <n v="0.6738544474393531"/>
        <n v="0.6462962962962963"/>
        <n v="0.6170212765957447"/>
        <n v="0.696652719665272"/>
        <n v="0.6204188481675392"/>
        <n v="0.6118210862619808"/>
        <n v="0.5989583333333334"/>
        <n v="0.584"/>
        <n v="0.6339285714285714"/>
        <n v="0.6625"/>
        <n v="0.630859375"/>
        <n v="0.5349887133182845"/>
        <n v="0.5679824561403509"/>
        <n v="0.6902654867256637"/>
        <n v="0.9260628465804066"/>
        <n v="1.0"/>
        <n v="0.9698795180722891"/>
        <n v="0.8917910447761194"/>
        <n v="0.9112903225806451"/>
        <n v="0.9436274509803921"/>
        <n v="0.9054726368159204"/>
        <n v="0.8947368421052632"/>
        <n v="0.9605026929982047"/>
        <n v="0.9470468431771895"/>
        <n v="0.9693486590038314"/>
        <n v="0.9346642468239564"/>
        <n v="0.9257028112449799"/>
        <n v="0.9631675874769797"/>
        <n v="0.9076923076923077"/>
        <n v="0.9690909090909091"/>
        <n v="0.9584487534626038"/>
        <n v="0.9321357285429142"/>
        <n v="0.9644268774703557"/>
        <n v="0.9786821705426356"/>
        <n v="0.9315960912052117"/>
        <n v="0.9521072796934866"/>
        <n v="0.9578754578754579"/>
        <n v="0.9496124031007752"/>
        <n v="0.968"/>
        <n v="0.9446640316205533"/>
        <n v="0.92578125"/>
        <n v="0.9164969450101833"/>
        <n v="0.9566037735849057"/>
        <n v="0.9435736677115988"/>
        <n v="0.9469026548672567"/>
        <n v="0.941972920696325"/>
        <n v="0.9480286738351255"/>
        <n v="0.940809968847352"/>
        <n v="0.9486692015209125"/>
        <n v="0.9508928571428571"/>
        <n v="0.9656786271450858"/>
        <n v="0.9519230769230769"/>
        <n v="0.9733727810650887"/>
        <n v="0.9334811529933481"/>
        <n v="0.9650655021834061"/>
        <n v="0.9647058823529412"/>
        <n v="0.9540918163672655"/>
        <n v="0.9277310924369748"/>
        <n v="0.9219653179190751"/>
        <n v="0.878"/>
        <n v="0.9344978165938864"/>
        <n v="0.9511627906976744"/>
        <n v="0.916247906197655"/>
        <n v="0.9787234042553191"/>
        <n v="0.9420289855072463"/>
        <n v="0.9515151515151515"/>
        <n v="0.9516129032258065"/>
        <n v="0.977818853974122"/>
        <n v="0.9538461538461539"/>
        <n v="0.944"/>
        <n v="0.9493927125506073"/>
        <n v="0.9387308533916849"/>
        <n v="0.9113300492610837"/>
        <n v="0.8963414634146342"/>
        <n v="0.8891820580474934"/>
        <n v="0.9258517034068137"/>
        <n v="0.9158878504672897"/>
        <n v="0.9150943396226415"/>
        <n v="0.9502164502164502"/>
        <n v="0.929637526652452"/>
        <n v="0.9304556354916067"/>
        <n v="0.9507246376811594"/>
        <n v="0.9028132992327366"/>
        <n v="0.8877005347593583"/>
        <n v="0.9479638009049773"/>
        <n v="0.9814814814814815"/>
        <n v="0.9121813031161473"/>
        <n v="0.9564270152505446"/>
        <n v="0.9261992619926199"/>
        <n v="0.9266666666666666"/>
        <n v="0.928374655647383"/>
        <n v="0.9005847953216374"/>
        <n v="0.9303482587064676"/>
        <n v="0.9197247706422018"/>
        <n v="0.9232736572890026"/>
        <n v="0.8574108818011257"/>
        <n v="0.9507042253521126"/>
        <n v="0.9415094339622642"/>
        <n v="0.9640718562874252"/>
        <n v="0.9197080291970803"/>
        <n v="0.8512396694214877"/>
        <n v="0.9553072625698324"/>
        <n v="0.8914728682170543"/>
        <n v="0.917910447761194"/>
        <n v="0.9681093394077449"/>
        <n v="0.9302325581395349"/>
        <n v="0.9253012048192771"/>
        <n v="0.9844357976653697"/>
        <n v="0.9408866995073891"/>
        <n v="0.9656862745098039"/>
        <n v="0.9391025641025641"/>
        <n v="0.9383983572895277"/>
        <n v="0.9700854700854701"/>
        <n v="0.9792626728110599"/>
        <n v="0.9789473684210527"/>
        <n v="0.9486166007905138"/>
        <n v="0.9736842105263158"/>
        <n v="0.9813519813519813"/>
        <n v="0.9621380846325167"/>
        <n v="0.9587852494577006"/>
        <n v="0.9686800894854586"/>
        <n v="0.9560878243512974"/>
        <n v="0.8766756032171582"/>
        <n v="0.9493087557603687"/>
        <n v="0.9672897196261683"/>
        <n v="0.8997772828507795"/>
        <n v="0.9576427255985267"/>
        <n v="0.9497816593886463"/>
        <n v="0.9651972157772621"/>
        <n v="0.9672131147540983"/>
        <n v="0.9140271493212669"/>
        <n v="0.9504310344827587"/>
        <n v="0.9323770491803278"/>
        <n v="0.854066985645933"/>
        <n v="0.921760391198044"/>
        <n v="0.9489795918367347"/>
        <n v="0.8706467661691543"/>
        <n v="0.9611829944547134"/>
        <n v="0.8707317073170732"/>
        <n v="0.9705014749262537"/>
        <n v="0.925754060324826"/>
        <n v="0.8703448275862069"/>
        <n v="0.8640625"/>
        <n v="0.9252136752136753"/>
        <n v="0.9094922737306843"/>
        <n v="0.887468030690537"/>
        <n v="0.9212253829321663"/>
        <n v="0.9090909090909091"/>
        <n v="0.9193357058125742"/>
        <n v="0.9067055393586005"/>
        <n v="0.8683651804670913"/>
        <n v="0.8857808857808858"/>
        <n v="0.951063829787234"/>
        <n v="0.9030172413793104"/>
        <n v="0.9216589861751152"/>
        <n v="0.9404255319148936"/>
        <n v="0.9342105263157895"/>
        <n v="0.917004048582996"/>
        <n v="0.9435665914221218"/>
        <n v="0.9526748971193416"/>
        <n v="0.9221052631578948"/>
        <n v="0.95662100456621"/>
        <n v="0.9432314410480349"/>
        <n v="0.959758551307847"/>
        <n v="0.9491525423728814"/>
        <n v="0.9123595505617977"/>
        <n v="0.9416809605488851"/>
        <n v="0.9529837251356239"/>
        <n v="0.9655913978494624"/>
        <n v="0.93125"/>
        <n v="0.9473684210526315"/>
        <n v="0.9234972677595629"/>
        <n v="0.9552238805970149"/>
        <n v="0.8829268292682927"/>
        <n v="0.913232104121475"/>
        <n v="0.9389920424403183"/>
        <n v="0.9380530973451328"/>
        <n v="0.9704301075268817"/>
        <n v="0.9463917525773196"/>
        <n v="0.9515011547344111"/>
        <n v="0.9522613065326633"/>
        <n v="0.9493670886075949"/>
        <n v="0.9355432780847146"/>
        <n v="0.9511041009463722"/>
        <n v="0.9487179487179487"/>
        <n v="0.896797153024911"/>
        <n v="0.9054621848739496"/>
        <n v="0.9547738693467337"/>
        <n v="0.96"/>
        <n v="0.9666666666666667"/>
        <n v="0.9451219512195121"/>
        <n v="0.9442231075697212"/>
        <n v="0.9236363636363636"/>
        <n v="0.8791208791208791"/>
        <n v="0.9128014842300557"/>
        <n v="0.9618528610354223"/>
        <n v="0.9730700179533214"/>
        <n v="0.9447115384615384"/>
        <n v="0.9433962264150944"/>
        <n v="0.8817391304347826"/>
        <n v="0.944578313253012"/>
        <n v="0.9426934097421203"/>
        <n v="0.9822485207100592"/>
        <n v="0.9203980099502488"/>
        <n v="0.9425287356321839"/>
        <n v="0.9038461538461539"/>
        <n v="0.9591836734693877"/>
        <n v="0.9630541871921182"/>
        <n v="0.9457364341085271"/>
        <n v="0.9278350515463918"/>
        <n v="0.9495327102803738"/>
        <n v="0.9585492227979274"/>
        <n v="0.9754098360655737"/>
        <n v="0.9573991031390134"/>
        <n v="0.8897196261682243"/>
        <n v="0.9858490566037735"/>
        <n v="0.986870897155361"/>
        <n v="0.9770114942528736"/>
        <n v="0.967032967032967"/>
        <n v="0.9941634241245136"/>
        <n v="0.963855421686747"/>
        <n v="0.9887892376681614"/>
        <n v="0.974304068522484"/>
        <n v="0.9713024282560706"/>
        <n v="0.9952830188679245"/>
        <n v="0.9647887323943662"/>
        <n v="0.966804979253112"/>
        <n v="0.9425837320574163"/>
        <n v="0.9714285714285714"/>
        <n v="0.9511201629327902"/>
        <n v="0.9588744588744589"/>
        <n v="0.8922155688622755"/>
        <n v="0.9507908611599297"/>
        <n v="0.9839034205231388"/>
        <n v="0.975051975051975"/>
        <n v="0.9416666666666667"/>
        <n v="0.9644859813084112"/>
        <n v="0.9634146341463414"/>
        <n v="0.9508196721311475"/>
        <n v="0.979047619047619"/>
        <n v="0.9698924731182795"/>
        <n v="0.9915966386554622"/>
        <n v="0.9766839378238342"/>
        <n v="0.9772256728778468"/>
        <n v="0.9800796812749004"/>
        <n v="0.948905109489051"/>
        <n v="0.9553571428571429"/>
        <n v="0.9673295454545454"/>
        <n v="0.9977628635346756"/>
        <n v="0.97"/>
        <n v="0.9791231732776617"/>
        <n v="0.9645776566757494"/>
        <n v="0.9918200408997955"/>
        <n v="0.9533169533169533"/>
        <n v="0.9586056644880174"/>
        <n v="0.9891540130151844"/>
        <n v="0.963302752293578"/>
        <n v="0.9669669669669669"/>
        <n v="0.9671532846715328"/>
        <n v="0.9431372549019608"/>
        <n v="0.9748858447488584"/>
        <n v="0.9740820734341252"/>
        <n v="0.9715536105032823"/>
        <n v="0.9858012170385395"/>
        <n v="0.9821958456973294"/>
        <n v="0.9866666666666667"/>
        <n v="0.949438202247191"/>
        <n v="0.917864476386037"/>
        <n v="0.9318681318681319"/>
        <n v="0.9624765478424016"/>
        <n v="0.8867924528301887"/>
        <n v="0.8883248730964467"/>
        <n v="0.8824833702882483"/>
        <n v="0.9192399049881235"/>
        <n v="0.9315403422982885"/>
        <n v="0.9496402877697842"/>
        <n v="0.9402985074626866"/>
        <n v="0.9560067681895094"/>
        <n v="0.9308943089430894"/>
        <n v="0.9651741293532339"/>
        <n v="0.9417808219178082"/>
        <n v="0.885"/>
        <n v="0.9100719424460432"/>
        <n v="0.9377224199288257"/>
        <n v="0.8432432432432433"/>
        <n v="0.8812615955473099"/>
        <n v="0.9116883116883117"/>
        <n v="0.9440559440559441"/>
        <n v="0.9245283018867925"/>
        <n v="0.9136690647482014"/>
        <n v="0.9098591549295775"/>
        <n v="0.8993399339933993"/>
        <n v="0.899749373433584"/>
        <n v="0.8746803069053708"/>
        <n v="0.9509043927648578"/>
        <n v="0.9084249084249084"/>
        <n v="0.9290060851926978"/>
        <n v="0.9619565217391305"/>
        <n v="0.9662027833001988"/>
        <n v="0.9628647214854111"/>
        <n v="0.9652650822669104"/>
        <n v="0.9606879606879607"/>
        <n v="0.9883177570093458"/>
        <n v="0.9663461538461539"/>
        <n v="0.9802955665024631"/>
        <n v="0.9527777777777777"/>
        <n v="0.9544592030360531"/>
        <n v="0.9810874704491725"/>
        <n v="0.9467889908256881"/>
        <n v="0.948164146868250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leep" cacheId="0" dataCaption="" compact="0" compactData="0">
  <location ref="L3:O7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leep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niq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t="default"/>
      </items>
    </pivotField>
    <pivotField name="TotalSleepRecords" compact="0" outline="0" multipleItemSelectionAllowed="1" showAll="0">
      <items>
        <item x="0"/>
        <item x="1"/>
        <item x="2"/>
        <item t="default"/>
      </items>
    </pivotField>
    <pivotField name="TotalMinutesAsle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TotalHoursAsleep" compact="0" numFmtId="4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TotalTimeInB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TotalHoursInBed" dataField="1" compact="0" numFmtId="4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Efektywność snu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t="default"/>
      </items>
    </pivotField>
    <pivotField name="QualityOfSleep" axis="axisRow" dataField="1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</pivotFields>
  <rowFields>
    <field x="9"/>
  </rowFields>
  <colFields>
    <field x="-2"/>
  </colFields>
  <dataFields>
    <dataField name="COUNT" fld="9" subtotal="count" showDataAs="percentOfTotal" baseField="0" numFmtId="10"/>
    <dataField name="AV of TotalHoursInBed" fld="7" subtotal="average" baseField="0"/>
    <dataField name="AV of Efektywność snu" fld="8" subtotal="average" baseField="0"/>
  </dataFields>
</pivotTableDefinition>
</file>

<file path=xl/pivotTables/pivotTable2.xml><?xml version="1.0" encoding="utf-8"?>
<pivotTableDefinition xmlns="http://schemas.openxmlformats.org/spreadsheetml/2006/main" name="Activity" cacheId="1" dataCaption="" compact="0" compactData="0">
  <location ref="A1:C35" firstHeaderRow="0" firstDataRow="2" firstDataCol="0"/>
  <pivotFields>
    <pivotField name="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ctivity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t="default"/>
      </items>
    </pivotField>
    <pivotField name="Total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t="default"/>
      </items>
    </pivotField>
    <pivotField name="Tracker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t="default"/>
      </items>
    </pivotField>
    <pivotField name="LoggedActivities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e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name="Moderatel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Light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Sedenta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er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Fair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Light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Sedenta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Calo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AV of TotalSteps" fld="2" subtotal="average" baseField="0"/>
    <dataField name="AV of Calories" fld="14" subtotal="average" baseField="0"/>
  </dataFields>
</pivotTableDefinition>
</file>

<file path=xl/pivotTables/pivotTable3.xml><?xml version="1.0" encoding="utf-8"?>
<pivotTableDefinition xmlns="http://schemas.openxmlformats.org/spreadsheetml/2006/main" name="Activity 2" cacheId="2" dataCaption="" rowGrandTotals="0" compact="0" compactData="0">
  <location ref="G4:K7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V of TotalStep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V of Calories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Activity Level" axis="axisRow" dataField="1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Activity day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3"/>
  </rowFields>
  <colFields>
    <field x="-2"/>
  </colFields>
  <dataFields>
    <dataField name="COUNTA of Activity Level" fld="3" subtotal="count" showDataAs="percentOfTotal" baseField="0" numFmtId="10"/>
    <dataField name="AV of TotalSteps" fld="1" subtotal="average" baseField="0"/>
    <dataField name="AV of Calories" fld="2" subtotal="average" baseField="0"/>
    <dataField name="AV of Activity days" fld="4" subtotal="average" baseField="0"/>
  </dataFields>
</pivotTableDefinition>
</file>

<file path=xl/pivotTables/pivotTable4.xml><?xml version="1.0" encoding="utf-8"?>
<pivotTableDefinition xmlns="http://schemas.openxmlformats.org/spreadsheetml/2006/main" name="Activity vs Sleep" cacheId="3" dataCaption="" rowGrandTotals="0" compact="0" compactData="0">
  <location ref="I27:K30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ctivity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Uniq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t="default"/>
      </items>
    </pivotField>
    <pivotField name="Total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t="default"/>
      </items>
    </pivotField>
    <pivotField name="Activity Level" axis="axisRow" compact="0" outline="0" multipleItemSelectionAllowed="1" showAll="0" sortType="ascending">
      <items>
        <item x="0"/>
        <item h="1" x="1"/>
        <item x="2"/>
        <item x="3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TotalSleep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name="SleepEfficiency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t="default"/>
      </items>
    </pivotField>
  </pivotFields>
  <rowFields>
    <field x="4"/>
  </rowFields>
  <colFields>
    <field x="-2"/>
  </colFields>
  <dataFields>
    <dataField name="AV of TotalSleepHours" fld="5" subtotal="average" baseField="0"/>
    <dataField name="AV of SleepEfficiency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15</v>
      </c>
      <c r="R1" s="3" t="s">
        <v>15</v>
      </c>
      <c r="S1" s="3" t="s">
        <v>15</v>
      </c>
      <c r="T1" s="3" t="s">
        <v>15</v>
      </c>
      <c r="U1" s="3" t="s">
        <v>15</v>
      </c>
      <c r="V1" s="3" t="s">
        <v>15</v>
      </c>
      <c r="W1" s="3" t="s">
        <v>15</v>
      </c>
      <c r="X1" s="3" t="s">
        <v>15</v>
      </c>
      <c r="Y1" s="3" t="s">
        <v>15</v>
      </c>
      <c r="Z1" s="3" t="s">
        <v>15</v>
      </c>
    </row>
    <row r="2">
      <c r="A2" s="4">
        <v>1.503960366E9</v>
      </c>
      <c r="B2" s="5">
        <v>42472.0</v>
      </c>
      <c r="C2" s="4">
        <v>13162.0</v>
      </c>
      <c r="D2" s="4">
        <v>8.5</v>
      </c>
      <c r="E2" s="4">
        <v>8.5</v>
      </c>
      <c r="F2" s="4">
        <v>0.0</v>
      </c>
      <c r="G2" s="4">
        <v>1.87999999523163</v>
      </c>
      <c r="H2" s="4">
        <v>0.550000011920929</v>
      </c>
      <c r="I2" s="4">
        <v>6.05999994277954</v>
      </c>
      <c r="J2" s="4">
        <v>0.0</v>
      </c>
      <c r="K2" s="4">
        <v>25.0</v>
      </c>
      <c r="L2" s="4">
        <v>13.0</v>
      </c>
      <c r="M2" s="4">
        <v>328.0</v>
      </c>
      <c r="N2" s="4">
        <v>728.0</v>
      </c>
      <c r="O2" s="4">
        <v>1985.0</v>
      </c>
    </row>
    <row r="3">
      <c r="A3" s="4">
        <v>1.503960366E9</v>
      </c>
      <c r="B3" s="5">
        <v>42473.0</v>
      </c>
      <c r="C3" s="4">
        <v>10735.0</v>
      </c>
      <c r="D3" s="4">
        <v>6.96999979019165</v>
      </c>
      <c r="E3" s="4">
        <v>6.96999979019165</v>
      </c>
      <c r="F3" s="4">
        <v>0.0</v>
      </c>
      <c r="G3" s="4">
        <v>1.57000005245209</v>
      </c>
      <c r="H3" s="4">
        <v>0.689999997615814</v>
      </c>
      <c r="I3" s="4">
        <v>4.71000003814697</v>
      </c>
      <c r="J3" s="4">
        <v>0.0</v>
      </c>
      <c r="K3" s="4">
        <v>21.0</v>
      </c>
      <c r="L3" s="4">
        <v>19.0</v>
      </c>
      <c r="M3" s="4">
        <v>217.0</v>
      </c>
      <c r="N3" s="4">
        <v>776.0</v>
      </c>
      <c r="O3" s="4">
        <v>1797.0</v>
      </c>
    </row>
    <row r="4">
      <c r="A4" s="4">
        <v>1.503960366E9</v>
      </c>
      <c r="B4" s="5">
        <v>42474.0</v>
      </c>
      <c r="C4" s="4">
        <v>10460.0</v>
      </c>
      <c r="D4" s="4">
        <v>6.73999977111816</v>
      </c>
      <c r="E4" s="4">
        <v>6.73999977111816</v>
      </c>
      <c r="F4" s="4">
        <v>0.0</v>
      </c>
      <c r="G4" s="4">
        <v>2.44000005722046</v>
      </c>
      <c r="H4" s="4">
        <v>0.400000005960464</v>
      </c>
      <c r="I4" s="4">
        <v>3.91000008583069</v>
      </c>
      <c r="J4" s="4">
        <v>0.0</v>
      </c>
      <c r="K4" s="4">
        <v>30.0</v>
      </c>
      <c r="L4" s="4">
        <v>11.0</v>
      </c>
      <c r="M4" s="4">
        <v>181.0</v>
      </c>
      <c r="N4" s="4">
        <v>1218.0</v>
      </c>
      <c r="O4" s="4">
        <v>1776.0</v>
      </c>
    </row>
    <row r="5">
      <c r="A5" s="4">
        <v>1.503960366E9</v>
      </c>
      <c r="B5" s="5">
        <v>42475.0</v>
      </c>
      <c r="C5" s="4">
        <v>9762.0</v>
      </c>
      <c r="D5" s="4">
        <v>6.28000020980835</v>
      </c>
      <c r="E5" s="4">
        <v>6.28000020980835</v>
      </c>
      <c r="F5" s="4">
        <v>0.0</v>
      </c>
      <c r="G5" s="4">
        <v>2.14000010490417</v>
      </c>
      <c r="H5" s="4">
        <v>1.25999999046326</v>
      </c>
      <c r="I5" s="4">
        <v>2.82999992370605</v>
      </c>
      <c r="J5" s="4">
        <v>0.0</v>
      </c>
      <c r="K5" s="4">
        <v>29.0</v>
      </c>
      <c r="L5" s="4">
        <v>34.0</v>
      </c>
      <c r="M5" s="4">
        <v>209.0</v>
      </c>
      <c r="N5" s="4">
        <v>726.0</v>
      </c>
      <c r="O5" s="4">
        <v>1745.0</v>
      </c>
    </row>
    <row r="6">
      <c r="A6" s="4">
        <v>1.503960366E9</v>
      </c>
      <c r="B6" s="5">
        <v>42476.0</v>
      </c>
      <c r="C6" s="4">
        <v>12669.0</v>
      </c>
      <c r="D6" s="4">
        <v>8.15999984741211</v>
      </c>
      <c r="E6" s="4">
        <v>8.15999984741211</v>
      </c>
      <c r="F6" s="4">
        <v>0.0</v>
      </c>
      <c r="G6" s="4">
        <v>2.71000003814697</v>
      </c>
      <c r="H6" s="4">
        <v>0.409999996423721</v>
      </c>
      <c r="I6" s="4">
        <v>5.03999996185303</v>
      </c>
      <c r="J6" s="4">
        <v>0.0</v>
      </c>
      <c r="K6" s="4">
        <v>36.0</v>
      </c>
      <c r="L6" s="4">
        <v>10.0</v>
      </c>
      <c r="M6" s="4">
        <v>221.0</v>
      </c>
      <c r="N6" s="4">
        <v>773.0</v>
      </c>
      <c r="O6" s="4">
        <v>1863.0</v>
      </c>
    </row>
    <row r="7">
      <c r="A7" s="4">
        <v>1.503960366E9</v>
      </c>
      <c r="B7" s="5">
        <v>42477.0</v>
      </c>
      <c r="C7" s="4">
        <v>9705.0</v>
      </c>
      <c r="D7" s="4">
        <v>6.48000001907349</v>
      </c>
      <c r="E7" s="4">
        <v>6.48000001907349</v>
      </c>
      <c r="F7" s="4">
        <v>0.0</v>
      </c>
      <c r="G7" s="4">
        <v>3.19000005722046</v>
      </c>
      <c r="H7" s="4">
        <v>0.779999971389771</v>
      </c>
      <c r="I7" s="4">
        <v>2.50999999046326</v>
      </c>
      <c r="J7" s="4">
        <v>0.0</v>
      </c>
      <c r="K7" s="4">
        <v>38.0</v>
      </c>
      <c r="L7" s="4">
        <v>20.0</v>
      </c>
      <c r="M7" s="4">
        <v>164.0</v>
      </c>
      <c r="N7" s="4">
        <v>539.0</v>
      </c>
      <c r="O7" s="4">
        <v>1728.0</v>
      </c>
    </row>
    <row r="8">
      <c r="A8" s="4">
        <v>1.503960366E9</v>
      </c>
      <c r="B8" s="5">
        <v>42478.0</v>
      </c>
      <c r="C8" s="4">
        <v>13019.0</v>
      </c>
      <c r="D8" s="4">
        <v>8.59000015258789</v>
      </c>
      <c r="E8" s="4">
        <v>8.59000015258789</v>
      </c>
      <c r="F8" s="4">
        <v>0.0</v>
      </c>
      <c r="G8" s="4">
        <v>3.25</v>
      </c>
      <c r="H8" s="4">
        <v>0.639999985694885</v>
      </c>
      <c r="I8" s="4">
        <v>4.71000003814697</v>
      </c>
      <c r="J8" s="4">
        <v>0.0</v>
      </c>
      <c r="K8" s="4">
        <v>42.0</v>
      </c>
      <c r="L8" s="4">
        <v>16.0</v>
      </c>
      <c r="M8" s="4">
        <v>233.0</v>
      </c>
      <c r="N8" s="4">
        <v>1149.0</v>
      </c>
      <c r="O8" s="4">
        <v>1921.0</v>
      </c>
    </row>
    <row r="9">
      <c r="A9" s="4">
        <v>1.503960366E9</v>
      </c>
      <c r="B9" s="5">
        <v>42479.0</v>
      </c>
      <c r="C9" s="4">
        <v>15506.0</v>
      </c>
      <c r="D9" s="4">
        <v>9.88000011444092</v>
      </c>
      <c r="E9" s="4">
        <v>9.88000011444092</v>
      </c>
      <c r="F9" s="4">
        <v>0.0</v>
      </c>
      <c r="G9" s="4">
        <v>3.52999997138977</v>
      </c>
      <c r="H9" s="4">
        <v>1.32000005245209</v>
      </c>
      <c r="I9" s="4">
        <v>5.03000020980835</v>
      </c>
      <c r="J9" s="4">
        <v>0.0</v>
      </c>
      <c r="K9" s="4">
        <v>50.0</v>
      </c>
      <c r="L9" s="4">
        <v>31.0</v>
      </c>
      <c r="M9" s="4">
        <v>264.0</v>
      </c>
      <c r="N9" s="4">
        <v>775.0</v>
      </c>
      <c r="O9" s="4">
        <v>2035.0</v>
      </c>
    </row>
    <row r="10">
      <c r="A10" s="4">
        <v>1.503960366E9</v>
      </c>
      <c r="B10" s="5">
        <v>42480.0</v>
      </c>
      <c r="C10" s="4">
        <v>10544.0</v>
      </c>
      <c r="D10" s="4">
        <v>6.67999982833862</v>
      </c>
      <c r="E10" s="4">
        <v>6.67999982833862</v>
      </c>
      <c r="F10" s="4">
        <v>0.0</v>
      </c>
      <c r="G10" s="4">
        <v>1.96000003814697</v>
      </c>
      <c r="H10" s="4">
        <v>0.479999989271164</v>
      </c>
      <c r="I10" s="4">
        <v>4.23999977111816</v>
      </c>
      <c r="J10" s="4">
        <v>0.0</v>
      </c>
      <c r="K10" s="4">
        <v>28.0</v>
      </c>
      <c r="L10" s="4">
        <v>12.0</v>
      </c>
      <c r="M10" s="4">
        <v>205.0</v>
      </c>
      <c r="N10" s="4">
        <v>818.0</v>
      </c>
      <c r="O10" s="4">
        <v>1786.0</v>
      </c>
    </row>
    <row r="11">
      <c r="A11" s="4">
        <v>1.503960366E9</v>
      </c>
      <c r="B11" s="5">
        <v>42481.0</v>
      </c>
      <c r="C11" s="4">
        <v>9819.0</v>
      </c>
      <c r="D11" s="4">
        <v>6.34000015258789</v>
      </c>
      <c r="E11" s="4">
        <v>6.34000015258789</v>
      </c>
      <c r="F11" s="4">
        <v>0.0</v>
      </c>
      <c r="G11" s="4">
        <v>1.3400000333786</v>
      </c>
      <c r="H11" s="4">
        <v>0.349999994039536</v>
      </c>
      <c r="I11" s="4">
        <v>4.65000009536743</v>
      </c>
      <c r="J11" s="4">
        <v>0.0</v>
      </c>
      <c r="K11" s="4">
        <v>19.0</v>
      </c>
      <c r="L11" s="4">
        <v>8.0</v>
      </c>
      <c r="M11" s="4">
        <v>211.0</v>
      </c>
      <c r="N11" s="4">
        <v>838.0</v>
      </c>
      <c r="O11" s="4">
        <v>1775.0</v>
      </c>
    </row>
    <row r="12">
      <c r="A12" s="4">
        <v>1.503960366E9</v>
      </c>
      <c r="B12" s="5">
        <v>42482.0</v>
      </c>
      <c r="C12" s="4">
        <v>12764.0</v>
      </c>
      <c r="D12" s="4">
        <v>8.13000011444092</v>
      </c>
      <c r="E12" s="4">
        <v>8.13000011444092</v>
      </c>
      <c r="F12" s="4">
        <v>0.0</v>
      </c>
      <c r="G12" s="4">
        <v>4.76000022888184</v>
      </c>
      <c r="H12" s="4">
        <v>1.12000000476837</v>
      </c>
      <c r="I12" s="4">
        <v>2.24000000953674</v>
      </c>
      <c r="J12" s="4">
        <v>0.0</v>
      </c>
      <c r="K12" s="4">
        <v>66.0</v>
      </c>
      <c r="L12" s="4">
        <v>27.0</v>
      </c>
      <c r="M12" s="4">
        <v>130.0</v>
      </c>
      <c r="N12" s="4">
        <v>1217.0</v>
      </c>
      <c r="O12" s="4">
        <v>1827.0</v>
      </c>
    </row>
    <row r="13">
      <c r="A13" s="4">
        <v>1.503960366E9</v>
      </c>
      <c r="B13" s="5">
        <v>42483.0</v>
      </c>
      <c r="C13" s="4">
        <v>14371.0</v>
      </c>
      <c r="D13" s="4">
        <v>9.03999996185303</v>
      </c>
      <c r="E13" s="4">
        <v>9.03999996185303</v>
      </c>
      <c r="F13" s="4">
        <v>0.0</v>
      </c>
      <c r="G13" s="4">
        <v>2.80999994277954</v>
      </c>
      <c r="H13" s="4">
        <v>0.870000004768372</v>
      </c>
      <c r="I13" s="4">
        <v>5.3600001335144</v>
      </c>
      <c r="J13" s="4">
        <v>0.0</v>
      </c>
      <c r="K13" s="4">
        <v>41.0</v>
      </c>
      <c r="L13" s="4">
        <v>21.0</v>
      </c>
      <c r="M13" s="4">
        <v>262.0</v>
      </c>
      <c r="N13" s="4">
        <v>732.0</v>
      </c>
      <c r="O13" s="4">
        <v>1949.0</v>
      </c>
    </row>
    <row r="14">
      <c r="A14" s="4">
        <v>1.503960366E9</v>
      </c>
      <c r="B14" s="5">
        <v>42484.0</v>
      </c>
      <c r="C14" s="4">
        <v>10039.0</v>
      </c>
      <c r="D14" s="4">
        <v>6.40999984741211</v>
      </c>
      <c r="E14" s="4">
        <v>6.40999984741211</v>
      </c>
      <c r="F14" s="4">
        <v>0.0</v>
      </c>
      <c r="G14" s="4">
        <v>2.92000007629395</v>
      </c>
      <c r="H14" s="4">
        <v>0.209999993443489</v>
      </c>
      <c r="I14" s="4">
        <v>3.27999997138977</v>
      </c>
      <c r="J14" s="4">
        <v>0.0</v>
      </c>
      <c r="K14" s="4">
        <v>39.0</v>
      </c>
      <c r="L14" s="4">
        <v>5.0</v>
      </c>
      <c r="M14" s="4">
        <v>238.0</v>
      </c>
      <c r="N14" s="4">
        <v>709.0</v>
      </c>
      <c r="O14" s="4">
        <v>1788.0</v>
      </c>
    </row>
    <row r="15">
      <c r="A15" s="4">
        <v>1.503960366E9</v>
      </c>
      <c r="B15" s="5">
        <v>42485.0</v>
      </c>
      <c r="C15" s="4">
        <v>15355.0</v>
      </c>
      <c r="D15" s="4">
        <v>9.80000019073486</v>
      </c>
      <c r="E15" s="4">
        <v>9.80000019073486</v>
      </c>
      <c r="F15" s="4">
        <v>0.0</v>
      </c>
      <c r="G15" s="4">
        <v>5.28999996185303</v>
      </c>
      <c r="H15" s="4">
        <v>0.569999992847443</v>
      </c>
      <c r="I15" s="4">
        <v>3.94000005722046</v>
      </c>
      <c r="J15" s="4">
        <v>0.0</v>
      </c>
      <c r="K15" s="4">
        <v>73.0</v>
      </c>
      <c r="L15" s="4">
        <v>14.0</v>
      </c>
      <c r="M15" s="4">
        <v>216.0</v>
      </c>
      <c r="N15" s="4">
        <v>814.0</v>
      </c>
      <c r="O15" s="4">
        <v>2013.0</v>
      </c>
    </row>
    <row r="16">
      <c r="A16" s="4">
        <v>1.503960366E9</v>
      </c>
      <c r="B16" s="5">
        <v>42486.0</v>
      </c>
      <c r="C16" s="4">
        <v>13755.0</v>
      </c>
      <c r="D16" s="4">
        <v>8.78999996185303</v>
      </c>
      <c r="E16" s="4">
        <v>8.78999996185303</v>
      </c>
      <c r="F16" s="4">
        <v>0.0</v>
      </c>
      <c r="G16" s="4">
        <v>2.32999992370605</v>
      </c>
      <c r="H16" s="4">
        <v>0.920000016689301</v>
      </c>
      <c r="I16" s="4">
        <v>5.53999996185303</v>
      </c>
      <c r="J16" s="4">
        <v>0.0</v>
      </c>
      <c r="K16" s="4">
        <v>31.0</v>
      </c>
      <c r="L16" s="4">
        <v>23.0</v>
      </c>
      <c r="M16" s="4">
        <v>279.0</v>
      </c>
      <c r="N16" s="4">
        <v>833.0</v>
      </c>
      <c r="O16" s="4">
        <v>1970.0</v>
      </c>
    </row>
    <row r="17">
      <c r="A17" s="4">
        <v>1.503960366E9</v>
      </c>
      <c r="B17" s="5">
        <v>42487.0</v>
      </c>
      <c r="C17" s="4">
        <v>18134.0</v>
      </c>
      <c r="D17" s="4">
        <v>12.210000038147</v>
      </c>
      <c r="E17" s="4">
        <v>12.210000038147</v>
      </c>
      <c r="F17" s="4">
        <v>0.0</v>
      </c>
      <c r="G17" s="4">
        <v>6.40000009536743</v>
      </c>
      <c r="H17" s="4">
        <v>0.409999996423721</v>
      </c>
      <c r="I17" s="4">
        <v>5.40999984741211</v>
      </c>
      <c r="J17" s="4">
        <v>0.0</v>
      </c>
      <c r="K17" s="4">
        <v>78.0</v>
      </c>
      <c r="L17" s="4">
        <v>11.0</v>
      </c>
      <c r="M17" s="4">
        <v>243.0</v>
      </c>
      <c r="N17" s="4">
        <v>1108.0</v>
      </c>
      <c r="O17" s="4">
        <v>2159.0</v>
      </c>
    </row>
    <row r="18">
      <c r="A18" s="4">
        <v>1.503960366E9</v>
      </c>
      <c r="B18" s="5">
        <v>42488.0</v>
      </c>
      <c r="C18" s="4">
        <v>13154.0</v>
      </c>
      <c r="D18" s="4">
        <v>8.52999973297119</v>
      </c>
      <c r="E18" s="4">
        <v>8.52999973297119</v>
      </c>
      <c r="F18" s="4">
        <v>0.0</v>
      </c>
      <c r="G18" s="4">
        <v>3.53999996185303</v>
      </c>
      <c r="H18" s="4">
        <v>1.1599999666214</v>
      </c>
      <c r="I18" s="4">
        <v>3.78999996185303</v>
      </c>
      <c r="J18" s="4">
        <v>0.0</v>
      </c>
      <c r="K18" s="4">
        <v>48.0</v>
      </c>
      <c r="L18" s="4">
        <v>28.0</v>
      </c>
      <c r="M18" s="4">
        <v>189.0</v>
      </c>
      <c r="N18" s="4">
        <v>782.0</v>
      </c>
      <c r="O18" s="4">
        <v>1898.0</v>
      </c>
    </row>
    <row r="19">
      <c r="A19" s="4">
        <v>1.503960366E9</v>
      </c>
      <c r="B19" s="5">
        <v>42489.0</v>
      </c>
      <c r="C19" s="4">
        <v>11181.0</v>
      </c>
      <c r="D19" s="4">
        <v>7.15000009536743</v>
      </c>
      <c r="E19" s="4">
        <v>7.15000009536743</v>
      </c>
      <c r="F19" s="4">
        <v>0.0</v>
      </c>
      <c r="G19" s="4">
        <v>1.05999994277954</v>
      </c>
      <c r="H19" s="4">
        <v>0.5</v>
      </c>
      <c r="I19" s="4">
        <v>5.57999992370605</v>
      </c>
      <c r="J19" s="4">
        <v>0.0</v>
      </c>
      <c r="K19" s="4">
        <v>16.0</v>
      </c>
      <c r="L19" s="4">
        <v>12.0</v>
      </c>
      <c r="M19" s="4">
        <v>243.0</v>
      </c>
      <c r="N19" s="4">
        <v>815.0</v>
      </c>
      <c r="O19" s="4">
        <v>1837.0</v>
      </c>
    </row>
    <row r="20">
      <c r="A20" s="4">
        <v>1.503960366E9</v>
      </c>
      <c r="B20" s="5">
        <v>42490.0</v>
      </c>
      <c r="C20" s="4">
        <v>14673.0</v>
      </c>
      <c r="D20" s="4">
        <v>9.25</v>
      </c>
      <c r="E20" s="4">
        <v>9.25</v>
      </c>
      <c r="F20" s="4">
        <v>0.0</v>
      </c>
      <c r="G20" s="4">
        <v>3.55999994277954</v>
      </c>
      <c r="H20" s="4">
        <v>1.41999995708466</v>
      </c>
      <c r="I20" s="4">
        <v>4.26999998092651</v>
      </c>
      <c r="J20" s="4">
        <v>0.0</v>
      </c>
      <c r="K20" s="4">
        <v>52.0</v>
      </c>
      <c r="L20" s="4">
        <v>34.0</v>
      </c>
      <c r="M20" s="4">
        <v>217.0</v>
      </c>
      <c r="N20" s="4">
        <v>712.0</v>
      </c>
      <c r="O20" s="4">
        <v>1947.0</v>
      </c>
    </row>
    <row r="21">
      <c r="A21" s="4">
        <v>1.503960366E9</v>
      </c>
      <c r="B21" s="5">
        <v>42491.0</v>
      </c>
      <c r="C21" s="4">
        <v>10602.0</v>
      </c>
      <c r="D21" s="4">
        <v>6.80999994277954</v>
      </c>
      <c r="E21" s="4">
        <v>6.80999994277954</v>
      </c>
      <c r="F21" s="4">
        <v>0.0</v>
      </c>
      <c r="G21" s="4">
        <v>2.28999996185303</v>
      </c>
      <c r="H21" s="4">
        <v>1.60000002384186</v>
      </c>
      <c r="I21" s="4">
        <v>2.92000007629395</v>
      </c>
      <c r="J21" s="4">
        <v>0.0</v>
      </c>
      <c r="K21" s="4">
        <v>33.0</v>
      </c>
      <c r="L21" s="4">
        <v>35.0</v>
      </c>
      <c r="M21" s="4">
        <v>246.0</v>
      </c>
      <c r="N21" s="4">
        <v>730.0</v>
      </c>
      <c r="O21" s="4">
        <v>1820.0</v>
      </c>
    </row>
    <row r="22">
      <c r="A22" s="4">
        <v>1.503960366E9</v>
      </c>
      <c r="B22" s="5">
        <v>42492.0</v>
      </c>
      <c r="C22" s="4">
        <v>14727.0</v>
      </c>
      <c r="D22" s="4">
        <v>9.71000003814697</v>
      </c>
      <c r="E22" s="4">
        <v>9.71000003814697</v>
      </c>
      <c r="F22" s="4">
        <v>0.0</v>
      </c>
      <c r="G22" s="4">
        <v>3.21000003814697</v>
      </c>
      <c r="H22" s="4">
        <v>0.569999992847443</v>
      </c>
      <c r="I22" s="4">
        <v>5.92000007629395</v>
      </c>
      <c r="J22" s="4">
        <v>0.0</v>
      </c>
      <c r="K22" s="4">
        <v>41.0</v>
      </c>
      <c r="L22" s="4">
        <v>15.0</v>
      </c>
      <c r="M22" s="4">
        <v>277.0</v>
      </c>
      <c r="N22" s="4">
        <v>798.0</v>
      </c>
      <c r="O22" s="4">
        <v>2004.0</v>
      </c>
    </row>
    <row r="23">
      <c r="A23" s="4">
        <v>1.503960366E9</v>
      </c>
      <c r="B23" s="5">
        <v>42493.0</v>
      </c>
      <c r="C23" s="4">
        <v>15103.0</v>
      </c>
      <c r="D23" s="4">
        <v>9.65999984741211</v>
      </c>
      <c r="E23" s="4">
        <v>9.65999984741211</v>
      </c>
      <c r="F23" s="4">
        <v>0.0</v>
      </c>
      <c r="G23" s="4">
        <v>3.73000001907349</v>
      </c>
      <c r="H23" s="4">
        <v>1.04999995231628</v>
      </c>
      <c r="I23" s="4">
        <v>4.88000011444092</v>
      </c>
      <c r="J23" s="4">
        <v>0.0</v>
      </c>
      <c r="K23" s="4">
        <v>50.0</v>
      </c>
      <c r="L23" s="4">
        <v>24.0</v>
      </c>
      <c r="M23" s="4">
        <v>254.0</v>
      </c>
      <c r="N23" s="4">
        <v>816.0</v>
      </c>
      <c r="O23" s="4">
        <v>1990.0</v>
      </c>
    </row>
    <row r="24">
      <c r="A24" s="4">
        <v>1.503960366E9</v>
      </c>
      <c r="B24" s="5">
        <v>42494.0</v>
      </c>
      <c r="C24" s="4">
        <v>11100.0</v>
      </c>
      <c r="D24" s="4">
        <v>7.15000009536743</v>
      </c>
      <c r="E24" s="4">
        <v>7.15000009536743</v>
      </c>
      <c r="F24" s="4">
        <v>0.0</v>
      </c>
      <c r="G24" s="4">
        <v>2.46000003814697</v>
      </c>
      <c r="H24" s="4">
        <v>0.870000004768372</v>
      </c>
      <c r="I24" s="4">
        <v>3.8199999332428</v>
      </c>
      <c r="J24" s="4">
        <v>0.0</v>
      </c>
      <c r="K24" s="4">
        <v>36.0</v>
      </c>
      <c r="L24" s="4">
        <v>22.0</v>
      </c>
      <c r="M24" s="4">
        <v>203.0</v>
      </c>
      <c r="N24" s="4">
        <v>1179.0</v>
      </c>
      <c r="O24" s="4">
        <v>1819.0</v>
      </c>
    </row>
    <row r="25">
      <c r="A25" s="4">
        <v>1.503960366E9</v>
      </c>
      <c r="B25" s="5">
        <v>42495.0</v>
      </c>
      <c r="C25" s="4">
        <v>14070.0</v>
      </c>
      <c r="D25" s="4">
        <v>8.89999961853027</v>
      </c>
      <c r="E25" s="4">
        <v>8.89999961853027</v>
      </c>
      <c r="F25" s="4">
        <v>0.0</v>
      </c>
      <c r="G25" s="4">
        <v>2.92000007629395</v>
      </c>
      <c r="H25" s="4">
        <v>1.08000004291534</v>
      </c>
      <c r="I25" s="4">
        <v>4.88000011444092</v>
      </c>
      <c r="J25" s="4">
        <v>0.0</v>
      </c>
      <c r="K25" s="4">
        <v>45.0</v>
      </c>
      <c r="L25" s="4">
        <v>24.0</v>
      </c>
      <c r="M25" s="4">
        <v>250.0</v>
      </c>
      <c r="N25" s="4">
        <v>857.0</v>
      </c>
      <c r="O25" s="4">
        <v>1959.0</v>
      </c>
    </row>
    <row r="26">
      <c r="A26" s="4">
        <v>1.503960366E9</v>
      </c>
      <c r="B26" s="5">
        <v>42496.0</v>
      </c>
      <c r="C26" s="4">
        <v>12159.0</v>
      </c>
      <c r="D26" s="4">
        <v>8.02999973297119</v>
      </c>
      <c r="E26" s="4">
        <v>8.02999973297119</v>
      </c>
      <c r="F26" s="4">
        <v>0.0</v>
      </c>
      <c r="G26" s="4">
        <v>1.97000002861023</v>
      </c>
      <c r="H26" s="4">
        <v>0.25</v>
      </c>
      <c r="I26" s="4">
        <v>5.80999994277954</v>
      </c>
      <c r="J26" s="4">
        <v>0.0</v>
      </c>
      <c r="K26" s="4">
        <v>24.0</v>
      </c>
      <c r="L26" s="4">
        <v>6.0</v>
      </c>
      <c r="M26" s="4">
        <v>289.0</v>
      </c>
      <c r="N26" s="4">
        <v>754.0</v>
      </c>
      <c r="O26" s="4">
        <v>1896.0</v>
      </c>
    </row>
    <row r="27">
      <c r="A27" s="4">
        <v>1.503960366E9</v>
      </c>
      <c r="B27" s="5">
        <v>42497.0</v>
      </c>
      <c r="C27" s="4">
        <v>11992.0</v>
      </c>
      <c r="D27" s="4">
        <v>7.71000003814697</v>
      </c>
      <c r="E27" s="4">
        <v>7.71000003814697</v>
      </c>
      <c r="F27" s="4">
        <v>0.0</v>
      </c>
      <c r="G27" s="4">
        <v>2.46000003814697</v>
      </c>
      <c r="H27" s="4">
        <v>2.11999988555908</v>
      </c>
      <c r="I27" s="4">
        <v>3.13000011444092</v>
      </c>
      <c r="J27" s="4">
        <v>0.0</v>
      </c>
      <c r="K27" s="4">
        <v>37.0</v>
      </c>
      <c r="L27" s="4">
        <v>46.0</v>
      </c>
      <c r="M27" s="4">
        <v>175.0</v>
      </c>
      <c r="N27" s="4">
        <v>833.0</v>
      </c>
      <c r="O27" s="4">
        <v>1821.0</v>
      </c>
    </row>
    <row r="28">
      <c r="A28" s="4">
        <v>1.503960366E9</v>
      </c>
      <c r="B28" s="5">
        <v>42498.0</v>
      </c>
      <c r="C28" s="4">
        <v>10060.0</v>
      </c>
      <c r="D28" s="4">
        <v>6.57999992370605</v>
      </c>
      <c r="E28" s="4">
        <v>6.57999992370605</v>
      </c>
      <c r="F28" s="4">
        <v>0.0</v>
      </c>
      <c r="G28" s="4">
        <v>3.52999997138977</v>
      </c>
      <c r="H28" s="4">
        <v>0.319999992847443</v>
      </c>
      <c r="I28" s="4">
        <v>2.73000001907349</v>
      </c>
      <c r="J28" s="4">
        <v>0.0</v>
      </c>
      <c r="K28" s="4">
        <v>44.0</v>
      </c>
      <c r="L28" s="4">
        <v>8.0</v>
      </c>
      <c r="M28" s="4">
        <v>203.0</v>
      </c>
      <c r="N28" s="4">
        <v>574.0</v>
      </c>
      <c r="O28" s="4">
        <v>1740.0</v>
      </c>
    </row>
    <row r="29">
      <c r="A29" s="4">
        <v>1.503960366E9</v>
      </c>
      <c r="B29" s="5">
        <v>42499.0</v>
      </c>
      <c r="C29" s="4">
        <v>12022.0</v>
      </c>
      <c r="D29" s="4">
        <v>7.71999979019165</v>
      </c>
      <c r="E29" s="4">
        <v>7.71999979019165</v>
      </c>
      <c r="F29" s="4">
        <v>0.0</v>
      </c>
      <c r="G29" s="4">
        <v>3.45000004768372</v>
      </c>
      <c r="H29" s="4">
        <v>0.529999971389771</v>
      </c>
      <c r="I29" s="4">
        <v>3.74000000953674</v>
      </c>
      <c r="J29" s="4">
        <v>0.0</v>
      </c>
      <c r="K29" s="4">
        <v>46.0</v>
      </c>
      <c r="L29" s="4">
        <v>11.0</v>
      </c>
      <c r="M29" s="4">
        <v>206.0</v>
      </c>
      <c r="N29" s="4">
        <v>835.0</v>
      </c>
      <c r="O29" s="4">
        <v>1819.0</v>
      </c>
    </row>
    <row r="30">
      <c r="A30" s="4">
        <v>1.503960366E9</v>
      </c>
      <c r="B30" s="5">
        <v>42500.0</v>
      </c>
      <c r="C30" s="4">
        <v>12207.0</v>
      </c>
      <c r="D30" s="4">
        <v>7.76999998092651</v>
      </c>
      <c r="E30" s="4">
        <v>7.76999998092651</v>
      </c>
      <c r="F30" s="4">
        <v>0.0</v>
      </c>
      <c r="G30" s="4">
        <v>3.34999990463257</v>
      </c>
      <c r="H30" s="4">
        <v>1.1599999666214</v>
      </c>
      <c r="I30" s="4">
        <v>3.25999999046326</v>
      </c>
      <c r="J30" s="4">
        <v>0.0</v>
      </c>
      <c r="K30" s="4">
        <v>46.0</v>
      </c>
      <c r="L30" s="4">
        <v>31.0</v>
      </c>
      <c r="M30" s="4">
        <v>214.0</v>
      </c>
      <c r="N30" s="4">
        <v>746.0</v>
      </c>
      <c r="O30" s="4">
        <v>1859.0</v>
      </c>
    </row>
    <row r="31">
      <c r="A31" s="4">
        <v>1.503960366E9</v>
      </c>
      <c r="B31" s="5">
        <v>42501.0</v>
      </c>
      <c r="C31" s="4">
        <v>12770.0</v>
      </c>
      <c r="D31" s="4">
        <v>8.13000011444092</v>
      </c>
      <c r="E31" s="4">
        <v>8.13000011444092</v>
      </c>
      <c r="F31" s="4">
        <v>0.0</v>
      </c>
      <c r="G31" s="4">
        <v>2.55999994277954</v>
      </c>
      <c r="H31" s="4">
        <v>1.00999999046326</v>
      </c>
      <c r="I31" s="4">
        <v>4.55000019073486</v>
      </c>
      <c r="J31" s="4">
        <v>0.0</v>
      </c>
      <c r="K31" s="4">
        <v>36.0</v>
      </c>
      <c r="L31" s="4">
        <v>23.0</v>
      </c>
      <c r="M31" s="4">
        <v>251.0</v>
      </c>
      <c r="N31" s="4">
        <v>669.0</v>
      </c>
      <c r="O31" s="4">
        <v>1783.0</v>
      </c>
    </row>
    <row r="32">
      <c r="A32" s="4">
        <v>1.503960366E9</v>
      </c>
      <c r="B32" s="5">
        <v>42502.0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1440.0</v>
      </c>
      <c r="O32" s="4">
        <v>0.0</v>
      </c>
    </row>
    <row r="33">
      <c r="A33" s="4">
        <v>1.624580081E9</v>
      </c>
      <c r="B33" s="5">
        <v>42472.0</v>
      </c>
      <c r="C33" s="4">
        <v>8163.0</v>
      </c>
      <c r="D33" s="4">
        <v>5.30999994277954</v>
      </c>
      <c r="E33" s="4">
        <v>5.30999994277954</v>
      </c>
      <c r="F33" s="4">
        <v>0.0</v>
      </c>
      <c r="G33" s="4">
        <v>0.0</v>
      </c>
      <c r="H33" s="4">
        <v>0.0</v>
      </c>
      <c r="I33" s="4">
        <v>5.30999994277954</v>
      </c>
      <c r="J33" s="4">
        <v>0.0</v>
      </c>
      <c r="K33" s="4">
        <v>0.0</v>
      </c>
      <c r="L33" s="4">
        <v>0.0</v>
      </c>
      <c r="M33" s="4">
        <v>146.0</v>
      </c>
      <c r="N33" s="4">
        <v>1294.0</v>
      </c>
      <c r="O33" s="4">
        <v>1432.0</v>
      </c>
    </row>
    <row r="34">
      <c r="A34" s="4">
        <v>1.624580081E9</v>
      </c>
      <c r="B34" s="5">
        <v>42473.0</v>
      </c>
      <c r="C34" s="4">
        <v>7007.0</v>
      </c>
      <c r="D34" s="4">
        <v>4.55000019073486</v>
      </c>
      <c r="E34" s="4">
        <v>4.55000019073486</v>
      </c>
      <c r="F34" s="4">
        <v>0.0</v>
      </c>
      <c r="G34" s="4">
        <v>0.0</v>
      </c>
      <c r="H34" s="4">
        <v>0.0</v>
      </c>
      <c r="I34" s="4">
        <v>4.55000019073486</v>
      </c>
      <c r="J34" s="4">
        <v>0.0</v>
      </c>
      <c r="K34" s="4">
        <v>0.0</v>
      </c>
      <c r="L34" s="4">
        <v>0.0</v>
      </c>
      <c r="M34" s="4">
        <v>148.0</v>
      </c>
      <c r="N34" s="4">
        <v>1292.0</v>
      </c>
      <c r="O34" s="4">
        <v>1411.0</v>
      </c>
    </row>
    <row r="35">
      <c r="A35" s="4">
        <v>1.624580081E9</v>
      </c>
      <c r="B35" s="5">
        <v>42474.0</v>
      </c>
      <c r="C35" s="4">
        <v>9107.0</v>
      </c>
      <c r="D35" s="4">
        <v>5.92000007629395</v>
      </c>
      <c r="E35" s="4">
        <v>5.92000007629395</v>
      </c>
      <c r="F35" s="4">
        <v>0.0</v>
      </c>
      <c r="G35" s="4">
        <v>0.0</v>
      </c>
      <c r="H35" s="4">
        <v>0.0</v>
      </c>
      <c r="I35" s="4">
        <v>5.90999984741211</v>
      </c>
      <c r="J35" s="4">
        <v>0.00999999977648258</v>
      </c>
      <c r="K35" s="4">
        <v>0.0</v>
      </c>
      <c r="L35" s="4">
        <v>0.0</v>
      </c>
      <c r="M35" s="4">
        <v>236.0</v>
      </c>
      <c r="N35" s="4">
        <v>1204.0</v>
      </c>
      <c r="O35" s="4">
        <v>1572.0</v>
      </c>
    </row>
    <row r="36">
      <c r="A36" s="4">
        <v>1.624580081E9</v>
      </c>
      <c r="B36" s="5">
        <v>42475.0</v>
      </c>
      <c r="C36" s="4">
        <v>1510.0</v>
      </c>
      <c r="D36" s="4">
        <v>0.980000019073486</v>
      </c>
      <c r="E36" s="4">
        <v>0.980000019073486</v>
      </c>
      <c r="F36" s="4">
        <v>0.0</v>
      </c>
      <c r="G36" s="4">
        <v>0.0</v>
      </c>
      <c r="H36" s="4">
        <v>0.0</v>
      </c>
      <c r="I36" s="4">
        <v>0.970000028610229</v>
      </c>
      <c r="J36" s="4">
        <v>0.0</v>
      </c>
      <c r="K36" s="4">
        <v>0.0</v>
      </c>
      <c r="L36" s="4">
        <v>0.0</v>
      </c>
      <c r="M36" s="4">
        <v>96.0</v>
      </c>
      <c r="N36" s="4">
        <v>1344.0</v>
      </c>
      <c r="O36" s="4">
        <v>1344.0</v>
      </c>
    </row>
    <row r="37">
      <c r="A37" s="4">
        <v>1.624580081E9</v>
      </c>
      <c r="B37" s="5">
        <v>42476.0</v>
      </c>
      <c r="C37" s="4">
        <v>5370.0</v>
      </c>
      <c r="D37" s="4">
        <v>3.49000000953674</v>
      </c>
      <c r="E37" s="4">
        <v>3.49000000953674</v>
      </c>
      <c r="F37" s="4">
        <v>0.0</v>
      </c>
      <c r="G37" s="4">
        <v>0.0</v>
      </c>
      <c r="H37" s="4">
        <v>0.0</v>
      </c>
      <c r="I37" s="4">
        <v>3.49000000953674</v>
      </c>
      <c r="J37" s="4">
        <v>0.0</v>
      </c>
      <c r="K37" s="4">
        <v>0.0</v>
      </c>
      <c r="L37" s="4">
        <v>0.0</v>
      </c>
      <c r="M37" s="4">
        <v>176.0</v>
      </c>
      <c r="N37" s="4">
        <v>1264.0</v>
      </c>
      <c r="O37" s="4">
        <v>1463.0</v>
      </c>
    </row>
    <row r="38">
      <c r="A38" s="4">
        <v>1.624580081E9</v>
      </c>
      <c r="B38" s="5">
        <v>42477.0</v>
      </c>
      <c r="C38" s="4">
        <v>6175.0</v>
      </c>
      <c r="D38" s="4">
        <v>4.05999994277954</v>
      </c>
      <c r="E38" s="4">
        <v>4.05999994277954</v>
      </c>
      <c r="F38" s="4">
        <v>0.0</v>
      </c>
      <c r="G38" s="4">
        <v>1.02999997138977</v>
      </c>
      <c r="H38" s="4">
        <v>1.51999998092651</v>
      </c>
      <c r="I38" s="4">
        <v>1.49000000953674</v>
      </c>
      <c r="J38" s="4">
        <v>0.00999999977648258</v>
      </c>
      <c r="K38" s="4">
        <v>15.0</v>
      </c>
      <c r="L38" s="4">
        <v>22.0</v>
      </c>
      <c r="M38" s="4">
        <v>127.0</v>
      </c>
      <c r="N38" s="4">
        <v>1276.0</v>
      </c>
      <c r="O38" s="4">
        <v>1554.0</v>
      </c>
    </row>
    <row r="39">
      <c r="A39" s="4">
        <v>1.624580081E9</v>
      </c>
      <c r="B39" s="5">
        <v>42478.0</v>
      </c>
      <c r="C39" s="4">
        <v>10536.0</v>
      </c>
      <c r="D39" s="4">
        <v>7.40999984741211</v>
      </c>
      <c r="E39" s="4">
        <v>7.40999984741211</v>
      </c>
      <c r="F39" s="4">
        <v>0.0</v>
      </c>
      <c r="G39" s="4">
        <v>2.15000009536743</v>
      </c>
      <c r="H39" s="4">
        <v>0.620000004768372</v>
      </c>
      <c r="I39" s="4">
        <v>4.61999988555908</v>
      </c>
      <c r="J39" s="4">
        <v>0.00999999977648258</v>
      </c>
      <c r="K39" s="4">
        <v>17.0</v>
      </c>
      <c r="L39" s="4">
        <v>7.0</v>
      </c>
      <c r="M39" s="4">
        <v>202.0</v>
      </c>
      <c r="N39" s="4">
        <v>1214.0</v>
      </c>
      <c r="O39" s="4">
        <v>1604.0</v>
      </c>
    </row>
    <row r="40">
      <c r="A40" s="4">
        <v>1.624580081E9</v>
      </c>
      <c r="B40" s="5">
        <v>42479.0</v>
      </c>
      <c r="C40" s="4">
        <v>2916.0</v>
      </c>
      <c r="D40" s="4">
        <v>1.89999997615814</v>
      </c>
      <c r="E40" s="4">
        <v>1.89999997615814</v>
      </c>
      <c r="F40" s="4">
        <v>0.0</v>
      </c>
      <c r="G40" s="4">
        <v>0.0</v>
      </c>
      <c r="H40" s="4">
        <v>0.0</v>
      </c>
      <c r="I40" s="4">
        <v>1.89999997615814</v>
      </c>
      <c r="J40" s="4">
        <v>0.0</v>
      </c>
      <c r="K40" s="4">
        <v>0.0</v>
      </c>
      <c r="L40" s="4">
        <v>0.0</v>
      </c>
      <c r="M40" s="4">
        <v>141.0</v>
      </c>
      <c r="N40" s="4">
        <v>1299.0</v>
      </c>
      <c r="O40" s="4">
        <v>1435.0</v>
      </c>
    </row>
    <row r="41">
      <c r="A41" s="4">
        <v>1.624580081E9</v>
      </c>
      <c r="B41" s="5">
        <v>42480.0</v>
      </c>
      <c r="C41" s="4">
        <v>4974.0</v>
      </c>
      <c r="D41" s="4">
        <v>3.23000001907349</v>
      </c>
      <c r="E41" s="4">
        <v>3.23000001907349</v>
      </c>
      <c r="F41" s="4">
        <v>0.0</v>
      </c>
      <c r="G41" s="4">
        <v>0.0</v>
      </c>
      <c r="H41" s="4">
        <v>0.0</v>
      </c>
      <c r="I41" s="4">
        <v>3.23000001907349</v>
      </c>
      <c r="J41" s="4">
        <v>0.0</v>
      </c>
      <c r="K41" s="4">
        <v>0.0</v>
      </c>
      <c r="L41" s="4">
        <v>0.0</v>
      </c>
      <c r="M41" s="4">
        <v>151.0</v>
      </c>
      <c r="N41" s="4">
        <v>1289.0</v>
      </c>
      <c r="O41" s="4">
        <v>1446.0</v>
      </c>
    </row>
    <row r="42">
      <c r="A42" s="4">
        <v>1.624580081E9</v>
      </c>
      <c r="B42" s="5">
        <v>42481.0</v>
      </c>
      <c r="C42" s="4">
        <v>6349.0</v>
      </c>
      <c r="D42" s="4">
        <v>4.13000011444092</v>
      </c>
      <c r="E42" s="4">
        <v>4.13000011444092</v>
      </c>
      <c r="F42" s="4">
        <v>0.0</v>
      </c>
      <c r="G42" s="4">
        <v>0.0</v>
      </c>
      <c r="H42" s="4">
        <v>0.0</v>
      </c>
      <c r="I42" s="4">
        <v>4.1100001335144</v>
      </c>
      <c r="J42" s="4">
        <v>0.0199999995529652</v>
      </c>
      <c r="K42" s="4">
        <v>0.0</v>
      </c>
      <c r="L42" s="4">
        <v>0.0</v>
      </c>
      <c r="M42" s="4">
        <v>186.0</v>
      </c>
      <c r="N42" s="4">
        <v>1254.0</v>
      </c>
      <c r="O42" s="4">
        <v>1467.0</v>
      </c>
    </row>
    <row r="43">
      <c r="A43" s="4">
        <v>1.624580081E9</v>
      </c>
      <c r="B43" s="5">
        <v>42482.0</v>
      </c>
      <c r="C43" s="4">
        <v>4026.0</v>
      </c>
      <c r="D43" s="4">
        <v>2.61999988555908</v>
      </c>
      <c r="E43" s="4">
        <v>2.61999988555908</v>
      </c>
      <c r="F43" s="4">
        <v>0.0</v>
      </c>
      <c r="G43" s="4">
        <v>0.0</v>
      </c>
      <c r="H43" s="4">
        <v>0.0</v>
      </c>
      <c r="I43" s="4">
        <v>2.59999990463257</v>
      </c>
      <c r="J43" s="4">
        <v>0.0</v>
      </c>
      <c r="K43" s="4">
        <v>0.0</v>
      </c>
      <c r="L43" s="4">
        <v>0.0</v>
      </c>
      <c r="M43" s="4">
        <v>199.0</v>
      </c>
      <c r="N43" s="4">
        <v>1241.0</v>
      </c>
      <c r="O43" s="4">
        <v>1470.0</v>
      </c>
    </row>
    <row r="44">
      <c r="A44" s="4">
        <v>1.624580081E9</v>
      </c>
      <c r="B44" s="5">
        <v>42483.0</v>
      </c>
      <c r="C44" s="4">
        <v>8538.0</v>
      </c>
      <c r="D44" s="4">
        <v>5.55000019073486</v>
      </c>
      <c r="E44" s="4">
        <v>5.55000019073486</v>
      </c>
      <c r="F44" s="4">
        <v>0.0</v>
      </c>
      <c r="G44" s="4">
        <v>0.0</v>
      </c>
      <c r="H44" s="4">
        <v>0.0</v>
      </c>
      <c r="I44" s="4">
        <v>5.53999996185303</v>
      </c>
      <c r="J44" s="4">
        <v>0.00999999977648258</v>
      </c>
      <c r="K44" s="4">
        <v>0.0</v>
      </c>
      <c r="L44" s="4">
        <v>0.0</v>
      </c>
      <c r="M44" s="4">
        <v>227.0</v>
      </c>
      <c r="N44" s="4">
        <v>1213.0</v>
      </c>
      <c r="O44" s="4">
        <v>1562.0</v>
      </c>
    </row>
    <row r="45">
      <c r="A45" s="4">
        <v>1.624580081E9</v>
      </c>
      <c r="B45" s="5">
        <v>42484.0</v>
      </c>
      <c r="C45" s="4">
        <v>6076.0</v>
      </c>
      <c r="D45" s="4">
        <v>3.95000004768372</v>
      </c>
      <c r="E45" s="4">
        <v>3.95000004768372</v>
      </c>
      <c r="F45" s="4">
        <v>0.0</v>
      </c>
      <c r="G45" s="4">
        <v>1.14999997615814</v>
      </c>
      <c r="H45" s="4">
        <v>0.910000026226044</v>
      </c>
      <c r="I45" s="4">
        <v>1.88999998569489</v>
      </c>
      <c r="J45" s="4">
        <v>0.0</v>
      </c>
      <c r="K45" s="4">
        <v>16.0</v>
      </c>
      <c r="L45" s="4">
        <v>18.0</v>
      </c>
      <c r="M45" s="4">
        <v>185.0</v>
      </c>
      <c r="N45" s="4">
        <v>1221.0</v>
      </c>
      <c r="O45" s="4">
        <v>1617.0</v>
      </c>
    </row>
    <row r="46">
      <c r="A46" s="4">
        <v>1.624580081E9</v>
      </c>
      <c r="B46" s="5">
        <v>42485.0</v>
      </c>
      <c r="C46" s="4">
        <v>6497.0</v>
      </c>
      <c r="D46" s="4">
        <v>4.21999979019165</v>
      </c>
      <c r="E46" s="4">
        <v>4.21999979019165</v>
      </c>
      <c r="F46" s="4">
        <v>0.0</v>
      </c>
      <c r="G46" s="4">
        <v>0.0</v>
      </c>
      <c r="H46" s="4">
        <v>0.0</v>
      </c>
      <c r="I46" s="4">
        <v>4.19999980926514</v>
      </c>
      <c r="J46" s="4">
        <v>0.0199999995529652</v>
      </c>
      <c r="K46" s="4">
        <v>0.0</v>
      </c>
      <c r="L46" s="4">
        <v>0.0</v>
      </c>
      <c r="M46" s="4">
        <v>202.0</v>
      </c>
      <c r="N46" s="4">
        <v>1238.0</v>
      </c>
      <c r="O46" s="4">
        <v>1492.0</v>
      </c>
    </row>
    <row r="47">
      <c r="A47" s="4">
        <v>1.624580081E9</v>
      </c>
      <c r="B47" s="5">
        <v>42486.0</v>
      </c>
      <c r="C47" s="4">
        <v>2826.0</v>
      </c>
      <c r="D47" s="4">
        <v>1.8400000333786</v>
      </c>
      <c r="E47" s="4">
        <v>1.8400000333786</v>
      </c>
      <c r="F47" s="4">
        <v>0.0</v>
      </c>
      <c r="G47" s="4">
        <v>0.0</v>
      </c>
      <c r="H47" s="4">
        <v>0.0</v>
      </c>
      <c r="I47" s="4">
        <v>1.83000004291534</v>
      </c>
      <c r="J47" s="4">
        <v>0.00999999977648258</v>
      </c>
      <c r="K47" s="4">
        <v>0.0</v>
      </c>
      <c r="L47" s="4">
        <v>0.0</v>
      </c>
      <c r="M47" s="4">
        <v>140.0</v>
      </c>
      <c r="N47" s="4">
        <v>1300.0</v>
      </c>
      <c r="O47" s="4">
        <v>1402.0</v>
      </c>
    </row>
    <row r="48">
      <c r="A48" s="4">
        <v>1.624580081E9</v>
      </c>
      <c r="B48" s="5">
        <v>42487.0</v>
      </c>
      <c r="C48" s="4">
        <v>8367.0</v>
      </c>
      <c r="D48" s="4">
        <v>5.44000005722046</v>
      </c>
      <c r="E48" s="4">
        <v>5.44000005722046</v>
      </c>
      <c r="F48" s="4">
        <v>0.0</v>
      </c>
      <c r="G48" s="4">
        <v>1.11000001430511</v>
      </c>
      <c r="H48" s="4">
        <v>1.87000000476837</v>
      </c>
      <c r="I48" s="4">
        <v>2.46000003814697</v>
      </c>
      <c r="J48" s="4">
        <v>0.0</v>
      </c>
      <c r="K48" s="4">
        <v>17.0</v>
      </c>
      <c r="L48" s="4">
        <v>36.0</v>
      </c>
      <c r="M48" s="4">
        <v>154.0</v>
      </c>
      <c r="N48" s="4">
        <v>1233.0</v>
      </c>
      <c r="O48" s="4">
        <v>1670.0</v>
      </c>
    </row>
    <row r="49">
      <c r="A49" s="4">
        <v>1.624580081E9</v>
      </c>
      <c r="B49" s="5">
        <v>42488.0</v>
      </c>
      <c r="C49" s="4">
        <v>2759.0</v>
      </c>
      <c r="D49" s="4">
        <v>1.78999996185303</v>
      </c>
      <c r="E49" s="4">
        <v>1.78999996185303</v>
      </c>
      <c r="F49" s="4">
        <v>0.0</v>
      </c>
      <c r="G49" s="4">
        <v>0.0</v>
      </c>
      <c r="H49" s="4">
        <v>0.200000002980232</v>
      </c>
      <c r="I49" s="4">
        <v>1.60000002384186</v>
      </c>
      <c r="J49" s="4">
        <v>0.0</v>
      </c>
      <c r="K49" s="4">
        <v>0.0</v>
      </c>
      <c r="L49" s="4">
        <v>5.0</v>
      </c>
      <c r="M49" s="4">
        <v>115.0</v>
      </c>
      <c r="N49" s="4">
        <v>1320.0</v>
      </c>
      <c r="O49" s="4">
        <v>1401.0</v>
      </c>
    </row>
    <row r="50">
      <c r="A50" s="4">
        <v>1.624580081E9</v>
      </c>
      <c r="B50" s="5">
        <v>42489.0</v>
      </c>
      <c r="C50" s="4">
        <v>2390.0</v>
      </c>
      <c r="D50" s="4">
        <v>1.54999995231628</v>
      </c>
      <c r="E50" s="4">
        <v>1.54999995231628</v>
      </c>
      <c r="F50" s="4">
        <v>0.0</v>
      </c>
      <c r="G50" s="4">
        <v>0.0</v>
      </c>
      <c r="H50" s="4">
        <v>0.0</v>
      </c>
      <c r="I50" s="4">
        <v>1.54999995231628</v>
      </c>
      <c r="J50" s="4">
        <v>0.0</v>
      </c>
      <c r="K50" s="4">
        <v>0.0</v>
      </c>
      <c r="L50" s="4">
        <v>0.0</v>
      </c>
      <c r="M50" s="4">
        <v>150.0</v>
      </c>
      <c r="N50" s="4">
        <v>1290.0</v>
      </c>
      <c r="O50" s="4">
        <v>1404.0</v>
      </c>
    </row>
    <row r="51">
      <c r="A51" s="4">
        <v>1.624580081E9</v>
      </c>
      <c r="B51" s="5">
        <v>42490.0</v>
      </c>
      <c r="C51" s="4">
        <v>6474.0</v>
      </c>
      <c r="D51" s="4">
        <v>4.30000019073486</v>
      </c>
      <c r="E51" s="4">
        <v>4.30000019073486</v>
      </c>
      <c r="F51" s="4">
        <v>0.0</v>
      </c>
      <c r="G51" s="4">
        <v>0.899999976158142</v>
      </c>
      <c r="H51" s="4">
        <v>1.27999997138977</v>
      </c>
      <c r="I51" s="4">
        <v>2.11999988555908</v>
      </c>
      <c r="J51" s="4">
        <v>0.00999999977648258</v>
      </c>
      <c r="K51" s="4">
        <v>11.0</v>
      </c>
      <c r="L51" s="4">
        <v>23.0</v>
      </c>
      <c r="M51" s="4">
        <v>224.0</v>
      </c>
      <c r="N51" s="4">
        <v>1182.0</v>
      </c>
      <c r="O51" s="4">
        <v>1655.0</v>
      </c>
    </row>
    <row r="52">
      <c r="A52" s="4">
        <v>1.624580081E9</v>
      </c>
      <c r="B52" s="5">
        <v>42491.0</v>
      </c>
      <c r="C52" s="4">
        <v>36019.0</v>
      </c>
      <c r="D52" s="4">
        <v>28.0300006866455</v>
      </c>
      <c r="E52" s="4">
        <v>28.0300006866455</v>
      </c>
      <c r="F52" s="4">
        <v>0.0</v>
      </c>
      <c r="G52" s="4">
        <v>21.9200000762939</v>
      </c>
      <c r="H52" s="4">
        <v>4.19000005722046</v>
      </c>
      <c r="I52" s="4">
        <v>1.9099999666214</v>
      </c>
      <c r="J52" s="4">
        <v>0.0199999995529652</v>
      </c>
      <c r="K52" s="4">
        <v>186.0</v>
      </c>
      <c r="L52" s="4">
        <v>63.0</v>
      </c>
      <c r="M52" s="4">
        <v>171.0</v>
      </c>
      <c r="N52" s="4">
        <v>1020.0</v>
      </c>
      <c r="O52" s="4">
        <v>2690.0</v>
      </c>
    </row>
    <row r="53">
      <c r="A53" s="4">
        <v>1.624580081E9</v>
      </c>
      <c r="B53" s="5">
        <v>42492.0</v>
      </c>
      <c r="C53" s="4">
        <v>7155.0</v>
      </c>
      <c r="D53" s="4">
        <v>4.92999982833862</v>
      </c>
      <c r="E53" s="4">
        <v>4.92999982833862</v>
      </c>
      <c r="F53" s="4">
        <v>0.0</v>
      </c>
      <c r="G53" s="4">
        <v>0.860000014305115</v>
      </c>
      <c r="H53" s="4">
        <v>0.589999973773956</v>
      </c>
      <c r="I53" s="4">
        <v>3.47000002861023</v>
      </c>
      <c r="J53" s="4">
        <v>0.0</v>
      </c>
      <c r="K53" s="4">
        <v>7.0</v>
      </c>
      <c r="L53" s="4">
        <v>6.0</v>
      </c>
      <c r="M53" s="4">
        <v>166.0</v>
      </c>
      <c r="N53" s="4">
        <v>1261.0</v>
      </c>
      <c r="O53" s="4">
        <v>1497.0</v>
      </c>
    </row>
    <row r="54">
      <c r="A54" s="4">
        <v>1.624580081E9</v>
      </c>
      <c r="B54" s="5">
        <v>42493.0</v>
      </c>
      <c r="C54" s="4">
        <v>2100.0</v>
      </c>
      <c r="D54" s="4">
        <v>1.37000000476837</v>
      </c>
      <c r="E54" s="4">
        <v>1.37000000476837</v>
      </c>
      <c r="F54" s="4">
        <v>0.0</v>
      </c>
      <c r="G54" s="4">
        <v>0.0</v>
      </c>
      <c r="H54" s="4">
        <v>0.0</v>
      </c>
      <c r="I54" s="4">
        <v>1.3400000333786</v>
      </c>
      <c r="J54" s="4">
        <v>0.0199999995529652</v>
      </c>
      <c r="K54" s="4">
        <v>0.0</v>
      </c>
      <c r="L54" s="4">
        <v>0.0</v>
      </c>
      <c r="M54" s="4">
        <v>96.0</v>
      </c>
      <c r="N54" s="4">
        <v>1344.0</v>
      </c>
      <c r="O54" s="4">
        <v>1334.0</v>
      </c>
    </row>
    <row r="55">
      <c r="A55" s="4">
        <v>1.624580081E9</v>
      </c>
      <c r="B55" s="5">
        <v>42494.0</v>
      </c>
      <c r="C55" s="4">
        <v>2193.0</v>
      </c>
      <c r="D55" s="4">
        <v>1.42999994754791</v>
      </c>
      <c r="E55" s="4">
        <v>1.42999994754791</v>
      </c>
      <c r="F55" s="4">
        <v>0.0</v>
      </c>
      <c r="G55" s="4">
        <v>0.0</v>
      </c>
      <c r="H55" s="4">
        <v>0.0</v>
      </c>
      <c r="I55" s="4">
        <v>1.41999995708466</v>
      </c>
      <c r="J55" s="4">
        <v>0.0</v>
      </c>
      <c r="K55" s="4">
        <v>0.0</v>
      </c>
      <c r="L55" s="4">
        <v>0.0</v>
      </c>
      <c r="M55" s="4">
        <v>118.0</v>
      </c>
      <c r="N55" s="4">
        <v>1322.0</v>
      </c>
      <c r="O55" s="4">
        <v>1368.0</v>
      </c>
    </row>
    <row r="56">
      <c r="A56" s="4">
        <v>1.624580081E9</v>
      </c>
      <c r="B56" s="5">
        <v>42495.0</v>
      </c>
      <c r="C56" s="4">
        <v>2470.0</v>
      </c>
      <c r="D56" s="4">
        <v>1.61000001430511</v>
      </c>
      <c r="E56" s="4">
        <v>1.61000001430511</v>
      </c>
      <c r="F56" s="4">
        <v>0.0</v>
      </c>
      <c r="G56" s="4">
        <v>0.0</v>
      </c>
      <c r="H56" s="4">
        <v>0.0</v>
      </c>
      <c r="I56" s="4">
        <v>1.58000004291534</v>
      </c>
      <c r="J56" s="4">
        <v>0.0199999995529652</v>
      </c>
      <c r="K56" s="4">
        <v>0.0</v>
      </c>
      <c r="L56" s="4">
        <v>0.0</v>
      </c>
      <c r="M56" s="4">
        <v>117.0</v>
      </c>
      <c r="N56" s="4">
        <v>1323.0</v>
      </c>
      <c r="O56" s="4">
        <v>1370.0</v>
      </c>
    </row>
    <row r="57">
      <c r="A57" s="4">
        <v>1.624580081E9</v>
      </c>
      <c r="B57" s="5">
        <v>42496.0</v>
      </c>
      <c r="C57" s="4">
        <v>1727.0</v>
      </c>
      <c r="D57" s="4">
        <v>1.12000000476837</v>
      </c>
      <c r="E57" s="4">
        <v>1.12000000476837</v>
      </c>
      <c r="F57" s="4">
        <v>0.0</v>
      </c>
      <c r="G57" s="4">
        <v>0.0</v>
      </c>
      <c r="H57" s="4">
        <v>0.0</v>
      </c>
      <c r="I57" s="4">
        <v>1.12000000476837</v>
      </c>
      <c r="J57" s="4">
        <v>0.00999999977648258</v>
      </c>
      <c r="K57" s="4">
        <v>0.0</v>
      </c>
      <c r="L57" s="4">
        <v>0.0</v>
      </c>
      <c r="M57" s="4">
        <v>102.0</v>
      </c>
      <c r="N57" s="4">
        <v>1338.0</v>
      </c>
      <c r="O57" s="4">
        <v>1341.0</v>
      </c>
    </row>
    <row r="58">
      <c r="A58" s="4">
        <v>1.624580081E9</v>
      </c>
      <c r="B58" s="5">
        <v>42497.0</v>
      </c>
      <c r="C58" s="4">
        <v>2104.0</v>
      </c>
      <c r="D58" s="4">
        <v>1.37000000476837</v>
      </c>
      <c r="E58" s="4">
        <v>1.37000000476837</v>
      </c>
      <c r="F58" s="4">
        <v>0.0</v>
      </c>
      <c r="G58" s="4">
        <v>0.0</v>
      </c>
      <c r="H58" s="4">
        <v>0.0</v>
      </c>
      <c r="I58" s="4">
        <v>1.37000000476837</v>
      </c>
      <c r="J58" s="4">
        <v>0.0</v>
      </c>
      <c r="K58" s="4">
        <v>0.0</v>
      </c>
      <c r="L58" s="4">
        <v>0.0</v>
      </c>
      <c r="M58" s="4">
        <v>182.0</v>
      </c>
      <c r="N58" s="4">
        <v>1258.0</v>
      </c>
      <c r="O58" s="4">
        <v>1474.0</v>
      </c>
    </row>
    <row r="59">
      <c r="A59" s="4">
        <v>1.624580081E9</v>
      </c>
      <c r="B59" s="5">
        <v>42498.0</v>
      </c>
      <c r="C59" s="4">
        <v>3427.0</v>
      </c>
      <c r="D59" s="4">
        <v>2.23000001907349</v>
      </c>
      <c r="E59" s="4">
        <v>2.23000001907349</v>
      </c>
      <c r="F59" s="4">
        <v>0.0</v>
      </c>
      <c r="G59" s="4">
        <v>0.0</v>
      </c>
      <c r="H59" s="4">
        <v>0.0</v>
      </c>
      <c r="I59" s="4">
        <v>2.22000002861023</v>
      </c>
      <c r="J59" s="4">
        <v>0.0</v>
      </c>
      <c r="K59" s="4">
        <v>0.0</v>
      </c>
      <c r="L59" s="4">
        <v>0.0</v>
      </c>
      <c r="M59" s="4">
        <v>152.0</v>
      </c>
      <c r="N59" s="4">
        <v>1288.0</v>
      </c>
      <c r="O59" s="4">
        <v>1427.0</v>
      </c>
    </row>
    <row r="60">
      <c r="A60" s="4">
        <v>1.624580081E9</v>
      </c>
      <c r="B60" s="5">
        <v>42499.0</v>
      </c>
      <c r="C60" s="4">
        <v>1732.0</v>
      </c>
      <c r="D60" s="4">
        <v>1.12999999523163</v>
      </c>
      <c r="E60" s="4">
        <v>1.12999999523163</v>
      </c>
      <c r="F60" s="4">
        <v>0.0</v>
      </c>
      <c r="G60" s="4">
        <v>0.0</v>
      </c>
      <c r="H60" s="4">
        <v>0.0</v>
      </c>
      <c r="I60" s="4">
        <v>1.12999999523163</v>
      </c>
      <c r="J60" s="4">
        <v>0.0</v>
      </c>
      <c r="K60" s="4">
        <v>0.0</v>
      </c>
      <c r="L60" s="4">
        <v>0.0</v>
      </c>
      <c r="M60" s="4">
        <v>91.0</v>
      </c>
      <c r="N60" s="4">
        <v>1349.0</v>
      </c>
      <c r="O60" s="4">
        <v>1328.0</v>
      </c>
    </row>
    <row r="61">
      <c r="A61" s="4">
        <v>1.624580081E9</v>
      </c>
      <c r="B61" s="5">
        <v>42500.0</v>
      </c>
      <c r="C61" s="4">
        <v>2969.0</v>
      </c>
      <c r="D61" s="4">
        <v>1.92999994754791</v>
      </c>
      <c r="E61" s="4">
        <v>1.92999994754791</v>
      </c>
      <c r="F61" s="4">
        <v>0.0</v>
      </c>
      <c r="G61" s="4">
        <v>0.0</v>
      </c>
      <c r="H61" s="4">
        <v>0.0</v>
      </c>
      <c r="I61" s="4">
        <v>1.91999995708466</v>
      </c>
      <c r="J61" s="4">
        <v>0.00999999977648258</v>
      </c>
      <c r="K61" s="4">
        <v>0.0</v>
      </c>
      <c r="L61" s="4">
        <v>0.0</v>
      </c>
      <c r="M61" s="4">
        <v>139.0</v>
      </c>
      <c r="N61" s="4">
        <v>1301.0</v>
      </c>
      <c r="O61" s="4">
        <v>1393.0</v>
      </c>
    </row>
    <row r="62">
      <c r="A62" s="4">
        <v>1.624580081E9</v>
      </c>
      <c r="B62" s="5">
        <v>42501.0</v>
      </c>
      <c r="C62" s="4">
        <v>3134.0</v>
      </c>
      <c r="D62" s="4">
        <v>2.03999996185303</v>
      </c>
      <c r="E62" s="4">
        <v>2.03999996185303</v>
      </c>
      <c r="F62" s="4">
        <v>0.0</v>
      </c>
      <c r="G62" s="4">
        <v>0.0</v>
      </c>
      <c r="H62" s="4">
        <v>0.0</v>
      </c>
      <c r="I62" s="4">
        <v>2.03999996185303</v>
      </c>
      <c r="J62" s="4">
        <v>0.0</v>
      </c>
      <c r="K62" s="4">
        <v>0.0</v>
      </c>
      <c r="L62" s="4">
        <v>0.0</v>
      </c>
      <c r="M62" s="4">
        <v>112.0</v>
      </c>
      <c r="N62" s="4">
        <v>1328.0</v>
      </c>
      <c r="O62" s="4">
        <v>1359.0</v>
      </c>
    </row>
    <row r="63">
      <c r="A63" s="4">
        <v>1.624580081E9</v>
      </c>
      <c r="B63" s="5">
        <v>42502.0</v>
      </c>
      <c r="C63" s="4">
        <v>2971.0</v>
      </c>
      <c r="D63" s="4">
        <v>1.92999994754791</v>
      </c>
      <c r="E63" s="4">
        <v>1.92999994754791</v>
      </c>
      <c r="F63" s="4">
        <v>0.0</v>
      </c>
      <c r="G63" s="4">
        <v>0.0</v>
      </c>
      <c r="H63" s="4">
        <v>0.0</v>
      </c>
      <c r="I63" s="4">
        <v>1.91999995708466</v>
      </c>
      <c r="J63" s="4">
        <v>0.00999999977648258</v>
      </c>
      <c r="K63" s="4">
        <v>0.0</v>
      </c>
      <c r="L63" s="4">
        <v>0.0</v>
      </c>
      <c r="M63" s="4">
        <v>107.0</v>
      </c>
      <c r="N63" s="4">
        <v>890.0</v>
      </c>
      <c r="O63" s="4">
        <v>1002.0</v>
      </c>
    </row>
    <row r="64">
      <c r="A64" s="4">
        <v>1.644430081E9</v>
      </c>
      <c r="B64" s="5">
        <v>42472.0</v>
      </c>
      <c r="C64" s="4">
        <v>10694.0</v>
      </c>
      <c r="D64" s="4">
        <v>7.76999998092651</v>
      </c>
      <c r="E64" s="4">
        <v>7.76999998092651</v>
      </c>
      <c r="F64" s="4">
        <v>0.0</v>
      </c>
      <c r="G64" s="4">
        <v>0.140000000596046</v>
      </c>
      <c r="H64" s="4">
        <v>2.29999995231628</v>
      </c>
      <c r="I64" s="4">
        <v>5.32999992370605</v>
      </c>
      <c r="J64" s="4">
        <v>0.0</v>
      </c>
      <c r="K64" s="4">
        <v>2.0</v>
      </c>
      <c r="L64" s="4">
        <v>51.0</v>
      </c>
      <c r="M64" s="4">
        <v>256.0</v>
      </c>
      <c r="N64" s="4">
        <v>1131.0</v>
      </c>
      <c r="O64" s="4">
        <v>3199.0</v>
      </c>
    </row>
    <row r="65">
      <c r="A65" s="4">
        <v>1.644430081E9</v>
      </c>
      <c r="B65" s="5">
        <v>42473.0</v>
      </c>
      <c r="C65" s="4">
        <v>8001.0</v>
      </c>
      <c r="D65" s="4">
        <v>5.82000017166138</v>
      </c>
      <c r="E65" s="4">
        <v>5.82000017166138</v>
      </c>
      <c r="F65" s="4">
        <v>0.0</v>
      </c>
      <c r="G65" s="4">
        <v>2.27999997138977</v>
      </c>
      <c r="H65" s="4">
        <v>0.899999976158142</v>
      </c>
      <c r="I65" s="4">
        <v>2.64000010490417</v>
      </c>
      <c r="J65" s="4">
        <v>0.0</v>
      </c>
      <c r="K65" s="4">
        <v>30.0</v>
      </c>
      <c r="L65" s="4">
        <v>16.0</v>
      </c>
      <c r="M65" s="4">
        <v>135.0</v>
      </c>
      <c r="N65" s="4">
        <v>1259.0</v>
      </c>
      <c r="O65" s="4">
        <v>2902.0</v>
      </c>
    </row>
    <row r="66">
      <c r="A66" s="4">
        <v>1.644430081E9</v>
      </c>
      <c r="B66" s="5">
        <v>42474.0</v>
      </c>
      <c r="C66" s="4">
        <v>11037.0</v>
      </c>
      <c r="D66" s="4">
        <v>8.02000045776367</v>
      </c>
      <c r="E66" s="4">
        <v>8.02000045776367</v>
      </c>
      <c r="F66" s="4">
        <v>0.0</v>
      </c>
      <c r="G66" s="4">
        <v>0.360000014305115</v>
      </c>
      <c r="H66" s="4">
        <v>2.55999994277954</v>
      </c>
      <c r="I66" s="4">
        <v>5.09999990463257</v>
      </c>
      <c r="J66" s="4">
        <v>0.0</v>
      </c>
      <c r="K66" s="4">
        <v>5.0</v>
      </c>
      <c r="L66" s="4">
        <v>58.0</v>
      </c>
      <c r="M66" s="4">
        <v>252.0</v>
      </c>
      <c r="N66" s="4">
        <v>1125.0</v>
      </c>
      <c r="O66" s="4">
        <v>3226.0</v>
      </c>
    </row>
    <row r="67">
      <c r="A67" s="4">
        <v>1.644430081E9</v>
      </c>
      <c r="B67" s="5">
        <v>42475.0</v>
      </c>
      <c r="C67" s="4">
        <v>5263.0</v>
      </c>
      <c r="D67" s="4">
        <v>3.82999992370605</v>
      </c>
      <c r="E67" s="4">
        <v>3.82999992370605</v>
      </c>
      <c r="F67" s="4">
        <v>0.0</v>
      </c>
      <c r="G67" s="4">
        <v>0.219999998807907</v>
      </c>
      <c r="H67" s="4">
        <v>0.150000005960464</v>
      </c>
      <c r="I67" s="4">
        <v>3.45000004768372</v>
      </c>
      <c r="J67" s="4">
        <v>0.0</v>
      </c>
      <c r="K67" s="4">
        <v>3.0</v>
      </c>
      <c r="L67" s="4">
        <v>4.0</v>
      </c>
      <c r="M67" s="4">
        <v>170.0</v>
      </c>
      <c r="N67" s="4">
        <v>1263.0</v>
      </c>
      <c r="O67" s="4">
        <v>2750.0</v>
      </c>
    </row>
    <row r="68">
      <c r="A68" s="4">
        <v>1.644430081E9</v>
      </c>
      <c r="B68" s="5">
        <v>42476.0</v>
      </c>
      <c r="C68" s="4">
        <v>15300.0</v>
      </c>
      <c r="D68" s="4">
        <v>11.1199998855591</v>
      </c>
      <c r="E68" s="4">
        <v>11.1199998855591</v>
      </c>
      <c r="F68" s="4">
        <v>0.0</v>
      </c>
      <c r="G68" s="4">
        <v>4.09999990463257</v>
      </c>
      <c r="H68" s="4">
        <v>1.87999999523163</v>
      </c>
      <c r="I68" s="4">
        <v>5.09000015258789</v>
      </c>
      <c r="J68" s="4">
        <v>0.0</v>
      </c>
      <c r="K68" s="4">
        <v>51.0</v>
      </c>
      <c r="L68" s="4">
        <v>42.0</v>
      </c>
      <c r="M68" s="4">
        <v>212.0</v>
      </c>
      <c r="N68" s="4">
        <v>1135.0</v>
      </c>
      <c r="O68" s="4">
        <v>3493.0</v>
      </c>
    </row>
    <row r="69">
      <c r="A69" s="4">
        <v>1.644430081E9</v>
      </c>
      <c r="B69" s="5">
        <v>42477.0</v>
      </c>
      <c r="C69" s="4">
        <v>8757.0</v>
      </c>
      <c r="D69" s="4">
        <v>6.36999988555908</v>
      </c>
      <c r="E69" s="4">
        <v>6.36999988555908</v>
      </c>
      <c r="F69" s="4">
        <v>0.0</v>
      </c>
      <c r="G69" s="4">
        <v>2.25</v>
      </c>
      <c r="H69" s="4">
        <v>0.569999992847443</v>
      </c>
      <c r="I69" s="4">
        <v>3.54999995231628</v>
      </c>
      <c r="J69" s="4">
        <v>0.0</v>
      </c>
      <c r="K69" s="4">
        <v>29.0</v>
      </c>
      <c r="L69" s="4">
        <v>13.0</v>
      </c>
      <c r="M69" s="4">
        <v>186.0</v>
      </c>
      <c r="N69" s="4">
        <v>1212.0</v>
      </c>
      <c r="O69" s="4">
        <v>3011.0</v>
      </c>
    </row>
    <row r="70">
      <c r="A70" s="4">
        <v>1.644430081E9</v>
      </c>
      <c r="B70" s="5">
        <v>42478.0</v>
      </c>
      <c r="C70" s="4">
        <v>7132.0</v>
      </c>
      <c r="D70" s="4">
        <v>5.19000005722046</v>
      </c>
      <c r="E70" s="4">
        <v>5.19000005722046</v>
      </c>
      <c r="F70" s="4">
        <v>0.0</v>
      </c>
      <c r="G70" s="4">
        <v>1.07000005245209</v>
      </c>
      <c r="H70" s="4">
        <v>1.66999995708466</v>
      </c>
      <c r="I70" s="4">
        <v>2.45000004768372</v>
      </c>
      <c r="J70" s="4">
        <v>0.0</v>
      </c>
      <c r="K70" s="4">
        <v>15.0</v>
      </c>
      <c r="L70" s="4">
        <v>33.0</v>
      </c>
      <c r="M70" s="4">
        <v>121.0</v>
      </c>
      <c r="N70" s="4">
        <v>1271.0</v>
      </c>
      <c r="O70" s="4">
        <v>2806.0</v>
      </c>
    </row>
    <row r="71">
      <c r="A71" s="4">
        <v>1.644430081E9</v>
      </c>
      <c r="B71" s="5">
        <v>42479.0</v>
      </c>
      <c r="C71" s="4">
        <v>11256.0</v>
      </c>
      <c r="D71" s="4">
        <v>8.18000030517578</v>
      </c>
      <c r="E71" s="4">
        <v>8.18000030517578</v>
      </c>
      <c r="F71" s="4">
        <v>0.0</v>
      </c>
      <c r="G71" s="4">
        <v>0.360000014305115</v>
      </c>
      <c r="H71" s="4">
        <v>2.52999997138977</v>
      </c>
      <c r="I71" s="4">
        <v>5.30000019073486</v>
      </c>
      <c r="J71" s="4">
        <v>0.0</v>
      </c>
      <c r="K71" s="4">
        <v>5.0</v>
      </c>
      <c r="L71" s="4">
        <v>58.0</v>
      </c>
      <c r="M71" s="4">
        <v>278.0</v>
      </c>
      <c r="N71" s="4">
        <v>1099.0</v>
      </c>
      <c r="O71" s="4">
        <v>3300.0</v>
      </c>
    </row>
    <row r="72">
      <c r="A72" s="4">
        <v>1.644430081E9</v>
      </c>
      <c r="B72" s="5">
        <v>42480.0</v>
      </c>
      <c r="C72" s="4">
        <v>2436.0</v>
      </c>
      <c r="D72" s="4">
        <v>1.76999998092651</v>
      </c>
      <c r="E72" s="4">
        <v>1.76999998092651</v>
      </c>
      <c r="F72" s="4">
        <v>0.0</v>
      </c>
      <c r="G72" s="4">
        <v>0.0</v>
      </c>
      <c r="H72" s="4">
        <v>0.0</v>
      </c>
      <c r="I72" s="4">
        <v>1.75999999046326</v>
      </c>
      <c r="J72" s="4">
        <v>0.00999999977648258</v>
      </c>
      <c r="K72" s="4">
        <v>0.0</v>
      </c>
      <c r="L72" s="4">
        <v>0.0</v>
      </c>
      <c r="M72" s="4">
        <v>125.0</v>
      </c>
      <c r="N72" s="4">
        <v>1315.0</v>
      </c>
      <c r="O72" s="4">
        <v>2430.0</v>
      </c>
    </row>
    <row r="73">
      <c r="A73" s="4">
        <v>1.644430081E9</v>
      </c>
      <c r="B73" s="5">
        <v>42481.0</v>
      </c>
      <c r="C73" s="4">
        <v>1223.0</v>
      </c>
      <c r="D73" s="4">
        <v>0.889999985694885</v>
      </c>
      <c r="E73" s="4">
        <v>0.889999985694885</v>
      </c>
      <c r="F73" s="4">
        <v>0.0</v>
      </c>
      <c r="G73" s="4">
        <v>0.0</v>
      </c>
      <c r="H73" s="4">
        <v>0.0</v>
      </c>
      <c r="I73" s="4">
        <v>0.879999995231628</v>
      </c>
      <c r="J73" s="4">
        <v>0.00999999977648258</v>
      </c>
      <c r="K73" s="4">
        <v>0.0</v>
      </c>
      <c r="L73" s="4">
        <v>0.0</v>
      </c>
      <c r="M73" s="4">
        <v>38.0</v>
      </c>
      <c r="N73" s="4">
        <v>1402.0</v>
      </c>
      <c r="O73" s="4">
        <v>2140.0</v>
      </c>
    </row>
    <row r="74">
      <c r="A74" s="4">
        <v>1.644430081E9</v>
      </c>
      <c r="B74" s="5">
        <v>42482.0</v>
      </c>
      <c r="C74" s="4">
        <v>3673.0</v>
      </c>
      <c r="D74" s="4">
        <v>2.67000007629395</v>
      </c>
      <c r="E74" s="4">
        <v>2.67000007629395</v>
      </c>
      <c r="F74" s="4">
        <v>0.0</v>
      </c>
      <c r="G74" s="4">
        <v>0.0</v>
      </c>
      <c r="H74" s="4">
        <v>0.0</v>
      </c>
      <c r="I74" s="4">
        <v>2.66000008583069</v>
      </c>
      <c r="J74" s="4">
        <v>0.00999999977648258</v>
      </c>
      <c r="K74" s="4">
        <v>0.0</v>
      </c>
      <c r="L74" s="4">
        <v>0.0</v>
      </c>
      <c r="M74" s="4">
        <v>86.0</v>
      </c>
      <c r="N74" s="4">
        <v>1354.0</v>
      </c>
      <c r="O74" s="4">
        <v>2344.0</v>
      </c>
    </row>
    <row r="75">
      <c r="A75" s="4">
        <v>1.644430081E9</v>
      </c>
      <c r="B75" s="5">
        <v>42483.0</v>
      </c>
      <c r="C75" s="4">
        <v>6637.0</v>
      </c>
      <c r="D75" s="4">
        <v>4.82999992370605</v>
      </c>
      <c r="E75" s="4">
        <v>4.82999992370605</v>
      </c>
      <c r="F75" s="4">
        <v>0.0</v>
      </c>
      <c r="G75" s="4">
        <v>0.0</v>
      </c>
      <c r="H75" s="4">
        <v>0.579999983310699</v>
      </c>
      <c r="I75" s="4">
        <v>4.25</v>
      </c>
      <c r="J75" s="4">
        <v>0.0</v>
      </c>
      <c r="K75" s="4">
        <v>0.0</v>
      </c>
      <c r="L75" s="4">
        <v>15.0</v>
      </c>
      <c r="M75" s="4">
        <v>160.0</v>
      </c>
      <c r="N75" s="4">
        <v>1265.0</v>
      </c>
      <c r="O75" s="4">
        <v>2677.0</v>
      </c>
    </row>
    <row r="76">
      <c r="A76" s="4">
        <v>1.644430081E9</v>
      </c>
      <c r="B76" s="5">
        <v>42484.0</v>
      </c>
      <c r="C76" s="4">
        <v>3321.0</v>
      </c>
      <c r="D76" s="4">
        <v>2.41000008583069</v>
      </c>
      <c r="E76" s="4">
        <v>2.41000008583069</v>
      </c>
      <c r="F76" s="4">
        <v>0.0</v>
      </c>
      <c r="G76" s="4">
        <v>0.0</v>
      </c>
      <c r="H76" s="4">
        <v>0.0</v>
      </c>
      <c r="I76" s="4">
        <v>2.41000008583069</v>
      </c>
      <c r="J76" s="4">
        <v>0.0</v>
      </c>
      <c r="K76" s="4">
        <v>0.0</v>
      </c>
      <c r="L76" s="4">
        <v>0.0</v>
      </c>
      <c r="M76" s="4">
        <v>89.0</v>
      </c>
      <c r="N76" s="4">
        <v>1351.0</v>
      </c>
      <c r="O76" s="4">
        <v>2413.0</v>
      </c>
    </row>
    <row r="77">
      <c r="A77" s="4">
        <v>1.644430081E9</v>
      </c>
      <c r="B77" s="5">
        <v>42485.0</v>
      </c>
      <c r="C77" s="4">
        <v>3580.0</v>
      </c>
      <c r="D77" s="4">
        <v>2.59999990463257</v>
      </c>
      <c r="E77" s="4">
        <v>2.59999990463257</v>
      </c>
      <c r="F77" s="4">
        <v>0.0</v>
      </c>
      <c r="G77" s="4">
        <v>0.589999973773956</v>
      </c>
      <c r="H77" s="4">
        <v>0.0599999986588955</v>
      </c>
      <c r="I77" s="4">
        <v>1.95000004768372</v>
      </c>
      <c r="J77" s="4">
        <v>0.0</v>
      </c>
      <c r="K77" s="4">
        <v>8.0</v>
      </c>
      <c r="L77" s="4">
        <v>1.0</v>
      </c>
      <c r="M77" s="4">
        <v>94.0</v>
      </c>
      <c r="N77" s="4">
        <v>1337.0</v>
      </c>
      <c r="O77" s="4">
        <v>2497.0</v>
      </c>
    </row>
    <row r="78">
      <c r="A78" s="4">
        <v>1.644430081E9</v>
      </c>
      <c r="B78" s="5">
        <v>42486.0</v>
      </c>
      <c r="C78" s="4">
        <v>9919.0</v>
      </c>
      <c r="D78" s="4">
        <v>7.21000003814697</v>
      </c>
      <c r="E78" s="4">
        <v>7.21000003814697</v>
      </c>
      <c r="F78" s="4">
        <v>0.0</v>
      </c>
      <c r="G78" s="4">
        <v>0.800000011920929</v>
      </c>
      <c r="H78" s="4">
        <v>1.72000002861023</v>
      </c>
      <c r="I78" s="4">
        <v>4.69000005722046</v>
      </c>
      <c r="J78" s="4">
        <v>0.0</v>
      </c>
      <c r="K78" s="4">
        <v>11.0</v>
      </c>
      <c r="L78" s="4">
        <v>41.0</v>
      </c>
      <c r="M78" s="4">
        <v>223.0</v>
      </c>
      <c r="N78" s="4">
        <v>1165.0</v>
      </c>
      <c r="O78" s="4">
        <v>3123.0</v>
      </c>
    </row>
    <row r="79">
      <c r="A79" s="4">
        <v>1.644430081E9</v>
      </c>
      <c r="B79" s="5">
        <v>42487.0</v>
      </c>
      <c r="C79" s="4">
        <v>3032.0</v>
      </c>
      <c r="D79" s="4">
        <v>2.20000004768372</v>
      </c>
      <c r="E79" s="4">
        <v>2.20000004768372</v>
      </c>
      <c r="F79" s="4">
        <v>0.0</v>
      </c>
      <c r="G79" s="4">
        <v>0.0</v>
      </c>
      <c r="H79" s="4">
        <v>0.0</v>
      </c>
      <c r="I79" s="4">
        <v>2.20000004768372</v>
      </c>
      <c r="J79" s="4">
        <v>0.0</v>
      </c>
      <c r="K79" s="4">
        <v>0.0</v>
      </c>
      <c r="L79" s="4">
        <v>0.0</v>
      </c>
      <c r="M79" s="4">
        <v>118.0</v>
      </c>
      <c r="N79" s="4">
        <v>1322.0</v>
      </c>
      <c r="O79" s="4">
        <v>2489.0</v>
      </c>
    </row>
    <row r="80">
      <c r="A80" s="4">
        <v>1.644430081E9</v>
      </c>
      <c r="B80" s="5">
        <v>42488.0</v>
      </c>
      <c r="C80" s="4">
        <v>9405.0</v>
      </c>
      <c r="D80" s="4">
        <v>6.84000015258789</v>
      </c>
      <c r="E80" s="4">
        <v>6.84000015258789</v>
      </c>
      <c r="F80" s="4">
        <v>0.0</v>
      </c>
      <c r="G80" s="4">
        <v>0.200000002980232</v>
      </c>
      <c r="H80" s="4">
        <v>2.3199999332428</v>
      </c>
      <c r="I80" s="4">
        <v>4.30999994277954</v>
      </c>
      <c r="J80" s="4">
        <v>0.0</v>
      </c>
      <c r="K80" s="4">
        <v>3.0</v>
      </c>
      <c r="L80" s="4">
        <v>53.0</v>
      </c>
      <c r="M80" s="4">
        <v>227.0</v>
      </c>
      <c r="N80" s="4">
        <v>1157.0</v>
      </c>
      <c r="O80" s="4">
        <v>3108.0</v>
      </c>
    </row>
    <row r="81">
      <c r="A81" s="4">
        <v>1.644430081E9</v>
      </c>
      <c r="B81" s="5">
        <v>42489.0</v>
      </c>
      <c r="C81" s="4">
        <v>3176.0</v>
      </c>
      <c r="D81" s="4">
        <v>2.30999994277954</v>
      </c>
      <c r="E81" s="4">
        <v>2.30999994277954</v>
      </c>
      <c r="F81" s="4">
        <v>0.0</v>
      </c>
      <c r="G81" s="4">
        <v>0.0</v>
      </c>
      <c r="H81" s="4">
        <v>0.0</v>
      </c>
      <c r="I81" s="4">
        <v>2.30999994277954</v>
      </c>
      <c r="J81" s="4">
        <v>0.0</v>
      </c>
      <c r="K81" s="4">
        <v>0.0</v>
      </c>
      <c r="L81" s="4">
        <v>0.0</v>
      </c>
      <c r="M81" s="4">
        <v>120.0</v>
      </c>
      <c r="N81" s="4">
        <v>1193.0</v>
      </c>
      <c r="O81" s="4">
        <v>2498.0</v>
      </c>
    </row>
    <row r="82">
      <c r="A82" s="4">
        <v>1.644430081E9</v>
      </c>
      <c r="B82" s="5">
        <v>42490.0</v>
      </c>
      <c r="C82" s="4">
        <v>18213.0</v>
      </c>
      <c r="D82" s="4">
        <v>13.2399997711182</v>
      </c>
      <c r="E82" s="4">
        <v>13.2399997711182</v>
      </c>
      <c r="F82" s="4">
        <v>0.0</v>
      </c>
      <c r="G82" s="4">
        <v>0.629999995231628</v>
      </c>
      <c r="H82" s="4">
        <v>3.14000010490417</v>
      </c>
      <c r="I82" s="4">
        <v>9.46000003814697</v>
      </c>
      <c r="J82" s="4">
        <v>0.0</v>
      </c>
      <c r="K82" s="4">
        <v>9.0</v>
      </c>
      <c r="L82" s="4">
        <v>71.0</v>
      </c>
      <c r="M82" s="4">
        <v>402.0</v>
      </c>
      <c r="N82" s="4">
        <v>816.0</v>
      </c>
      <c r="O82" s="4">
        <v>3846.0</v>
      </c>
    </row>
    <row r="83">
      <c r="A83" s="4">
        <v>1.644430081E9</v>
      </c>
      <c r="B83" s="5">
        <v>42491.0</v>
      </c>
      <c r="C83" s="4">
        <v>6132.0</v>
      </c>
      <c r="D83" s="4">
        <v>4.46000003814697</v>
      </c>
      <c r="E83" s="4">
        <v>4.46000003814697</v>
      </c>
      <c r="F83" s="4">
        <v>0.0</v>
      </c>
      <c r="G83" s="4">
        <v>0.239999994635582</v>
      </c>
      <c r="H83" s="4">
        <v>0.990000009536743</v>
      </c>
      <c r="I83" s="4">
        <v>3.23000001907349</v>
      </c>
      <c r="J83" s="4">
        <v>0.0</v>
      </c>
      <c r="K83" s="4">
        <v>3.0</v>
      </c>
      <c r="L83" s="4">
        <v>24.0</v>
      </c>
      <c r="M83" s="4">
        <v>146.0</v>
      </c>
      <c r="N83" s="4">
        <v>908.0</v>
      </c>
      <c r="O83" s="4">
        <v>2696.0</v>
      </c>
    </row>
    <row r="84">
      <c r="A84" s="4">
        <v>1.644430081E9</v>
      </c>
      <c r="B84" s="5">
        <v>42492.0</v>
      </c>
      <c r="C84" s="4">
        <v>3758.0</v>
      </c>
      <c r="D84" s="4">
        <v>2.73000001907349</v>
      </c>
      <c r="E84" s="4">
        <v>2.73000001907349</v>
      </c>
      <c r="F84" s="4">
        <v>0.0</v>
      </c>
      <c r="G84" s="4">
        <v>0.0700000002980232</v>
      </c>
      <c r="H84" s="4">
        <v>0.310000002384186</v>
      </c>
      <c r="I84" s="4">
        <v>2.34999990463257</v>
      </c>
      <c r="J84" s="4">
        <v>0.0</v>
      </c>
      <c r="K84" s="4">
        <v>1.0</v>
      </c>
      <c r="L84" s="4">
        <v>7.0</v>
      </c>
      <c r="M84" s="4">
        <v>148.0</v>
      </c>
      <c r="N84" s="4">
        <v>682.0</v>
      </c>
      <c r="O84" s="4">
        <v>2580.0</v>
      </c>
    </row>
    <row r="85">
      <c r="A85" s="4">
        <v>1.644430081E9</v>
      </c>
      <c r="B85" s="5">
        <v>42493.0</v>
      </c>
      <c r="C85" s="4">
        <v>12850.0</v>
      </c>
      <c r="D85" s="4">
        <v>9.34000015258789</v>
      </c>
      <c r="E85" s="4">
        <v>9.34000015258789</v>
      </c>
      <c r="F85" s="4">
        <v>0.0</v>
      </c>
      <c r="G85" s="4">
        <v>0.720000028610229</v>
      </c>
      <c r="H85" s="4">
        <v>4.09000015258789</v>
      </c>
      <c r="I85" s="4">
        <v>4.53999996185303</v>
      </c>
      <c r="J85" s="4">
        <v>0.0</v>
      </c>
      <c r="K85" s="4">
        <v>10.0</v>
      </c>
      <c r="L85" s="4">
        <v>94.0</v>
      </c>
      <c r="M85" s="4">
        <v>221.0</v>
      </c>
      <c r="N85" s="4">
        <v>1115.0</v>
      </c>
      <c r="O85" s="4">
        <v>3324.0</v>
      </c>
    </row>
    <row r="86">
      <c r="A86" s="4">
        <v>1.644430081E9</v>
      </c>
      <c r="B86" s="5">
        <v>42494.0</v>
      </c>
      <c r="C86" s="4">
        <v>2309.0</v>
      </c>
      <c r="D86" s="4">
        <v>1.67999994754791</v>
      </c>
      <c r="E86" s="4">
        <v>1.67999994754791</v>
      </c>
      <c r="F86" s="4">
        <v>0.0</v>
      </c>
      <c r="G86" s="4">
        <v>0.0</v>
      </c>
      <c r="H86" s="4">
        <v>0.0</v>
      </c>
      <c r="I86" s="4">
        <v>1.6599999666214</v>
      </c>
      <c r="J86" s="4">
        <v>0.0199999995529652</v>
      </c>
      <c r="K86" s="4">
        <v>0.0</v>
      </c>
      <c r="L86" s="4">
        <v>0.0</v>
      </c>
      <c r="M86" s="4">
        <v>52.0</v>
      </c>
      <c r="N86" s="4">
        <v>1388.0</v>
      </c>
      <c r="O86" s="4">
        <v>2222.0</v>
      </c>
    </row>
    <row r="87">
      <c r="A87" s="4">
        <v>1.644430081E9</v>
      </c>
      <c r="B87" s="5">
        <v>42495.0</v>
      </c>
      <c r="C87" s="4">
        <v>4363.0</v>
      </c>
      <c r="D87" s="4">
        <v>3.19000005722046</v>
      </c>
      <c r="E87" s="4">
        <v>3.19000005722046</v>
      </c>
      <c r="F87" s="4">
        <v>0.0</v>
      </c>
      <c r="G87" s="4">
        <v>0.519999980926514</v>
      </c>
      <c r="H87" s="4">
        <v>0.540000021457672</v>
      </c>
      <c r="I87" s="4">
        <v>2.13000011444092</v>
      </c>
      <c r="J87" s="4">
        <v>0.00999999977648258</v>
      </c>
      <c r="K87" s="4">
        <v>6.0</v>
      </c>
      <c r="L87" s="4">
        <v>12.0</v>
      </c>
      <c r="M87" s="4">
        <v>81.0</v>
      </c>
      <c r="N87" s="4">
        <v>1341.0</v>
      </c>
      <c r="O87" s="4">
        <v>2463.0</v>
      </c>
    </row>
    <row r="88">
      <c r="A88" s="4">
        <v>1.644430081E9</v>
      </c>
      <c r="B88" s="5">
        <v>42496.0</v>
      </c>
      <c r="C88" s="4">
        <v>9787.0</v>
      </c>
      <c r="D88" s="4">
        <v>7.11999988555908</v>
      </c>
      <c r="E88" s="4">
        <v>7.11999988555908</v>
      </c>
      <c r="F88" s="4">
        <v>0.0</v>
      </c>
      <c r="G88" s="4">
        <v>0.819999992847443</v>
      </c>
      <c r="H88" s="4">
        <v>0.270000010728836</v>
      </c>
      <c r="I88" s="4">
        <v>6.01000022888184</v>
      </c>
      <c r="J88" s="4">
        <v>0.0199999995529652</v>
      </c>
      <c r="K88" s="4">
        <v>11.0</v>
      </c>
      <c r="L88" s="4">
        <v>6.0</v>
      </c>
      <c r="M88" s="4">
        <v>369.0</v>
      </c>
      <c r="N88" s="4">
        <v>1054.0</v>
      </c>
      <c r="O88" s="4">
        <v>3328.0</v>
      </c>
    </row>
    <row r="89">
      <c r="A89" s="4">
        <v>1.644430081E9</v>
      </c>
      <c r="B89" s="5">
        <v>42497.0</v>
      </c>
      <c r="C89" s="4">
        <v>13372.0</v>
      </c>
      <c r="D89" s="4">
        <v>9.72000026702881</v>
      </c>
      <c r="E89" s="4">
        <v>9.72000026702881</v>
      </c>
      <c r="F89" s="4">
        <v>0.0</v>
      </c>
      <c r="G89" s="4">
        <v>3.25999999046326</v>
      </c>
      <c r="H89" s="4">
        <v>0.790000021457672</v>
      </c>
      <c r="I89" s="4">
        <v>5.67000007629395</v>
      </c>
      <c r="J89" s="4">
        <v>0.00999999977648258</v>
      </c>
      <c r="K89" s="4">
        <v>41.0</v>
      </c>
      <c r="L89" s="4">
        <v>17.0</v>
      </c>
      <c r="M89" s="4">
        <v>243.0</v>
      </c>
      <c r="N89" s="4">
        <v>1139.0</v>
      </c>
      <c r="O89" s="4">
        <v>3404.0</v>
      </c>
    </row>
    <row r="90">
      <c r="A90" s="4">
        <v>1.644430081E9</v>
      </c>
      <c r="B90" s="5">
        <v>42498.0</v>
      </c>
      <c r="C90" s="4">
        <v>6724.0</v>
      </c>
      <c r="D90" s="4">
        <v>4.8899998664856</v>
      </c>
      <c r="E90" s="4">
        <v>4.8899998664856</v>
      </c>
      <c r="F90" s="4">
        <v>0.0</v>
      </c>
      <c r="G90" s="4">
        <v>0.0</v>
      </c>
      <c r="H90" s="4">
        <v>0.0</v>
      </c>
      <c r="I90" s="4">
        <v>4.88000011444092</v>
      </c>
      <c r="J90" s="4">
        <v>0.0</v>
      </c>
      <c r="K90" s="4">
        <v>0.0</v>
      </c>
      <c r="L90" s="4">
        <v>0.0</v>
      </c>
      <c r="M90" s="4">
        <v>295.0</v>
      </c>
      <c r="N90" s="4">
        <v>991.0</v>
      </c>
      <c r="O90" s="4">
        <v>2987.0</v>
      </c>
    </row>
    <row r="91">
      <c r="A91" s="4">
        <v>1.644430081E9</v>
      </c>
      <c r="B91" s="5">
        <v>42499.0</v>
      </c>
      <c r="C91" s="4">
        <v>6643.0</v>
      </c>
      <c r="D91" s="4">
        <v>4.82999992370605</v>
      </c>
      <c r="E91" s="4">
        <v>4.82999992370605</v>
      </c>
      <c r="F91" s="4">
        <v>0.0</v>
      </c>
      <c r="G91" s="4">
        <v>2.39000010490417</v>
      </c>
      <c r="H91" s="4">
        <v>0.349999994039536</v>
      </c>
      <c r="I91" s="4">
        <v>2.08999991416931</v>
      </c>
      <c r="J91" s="4">
        <v>0.00999999977648258</v>
      </c>
      <c r="K91" s="4">
        <v>32.0</v>
      </c>
      <c r="L91" s="4">
        <v>6.0</v>
      </c>
      <c r="M91" s="4">
        <v>303.0</v>
      </c>
      <c r="N91" s="4">
        <v>1099.0</v>
      </c>
      <c r="O91" s="4">
        <v>3008.0</v>
      </c>
    </row>
    <row r="92">
      <c r="A92" s="4">
        <v>1.644430081E9</v>
      </c>
      <c r="B92" s="5">
        <v>42500.0</v>
      </c>
      <c r="C92" s="4">
        <v>9167.0</v>
      </c>
      <c r="D92" s="4">
        <v>6.65999984741211</v>
      </c>
      <c r="E92" s="4">
        <v>6.65999984741211</v>
      </c>
      <c r="F92" s="4">
        <v>0.0</v>
      </c>
      <c r="G92" s="4">
        <v>0.879999995231628</v>
      </c>
      <c r="H92" s="4">
        <v>0.810000002384186</v>
      </c>
      <c r="I92" s="4">
        <v>4.96999979019165</v>
      </c>
      <c r="J92" s="4">
        <v>0.00999999977648258</v>
      </c>
      <c r="K92" s="4">
        <v>12.0</v>
      </c>
      <c r="L92" s="4">
        <v>19.0</v>
      </c>
      <c r="M92" s="4">
        <v>155.0</v>
      </c>
      <c r="N92" s="4">
        <v>1254.0</v>
      </c>
      <c r="O92" s="4">
        <v>2799.0</v>
      </c>
    </row>
    <row r="93">
      <c r="A93" s="4">
        <v>1.644430081E9</v>
      </c>
      <c r="B93" s="5">
        <v>42501.0</v>
      </c>
      <c r="C93" s="4">
        <v>1329.0</v>
      </c>
      <c r="D93" s="4">
        <v>0.970000028610229</v>
      </c>
      <c r="E93" s="4">
        <v>0.970000028610229</v>
      </c>
      <c r="F93" s="4">
        <v>0.0</v>
      </c>
      <c r="G93" s="4">
        <v>0.0</v>
      </c>
      <c r="H93" s="4">
        <v>0.0</v>
      </c>
      <c r="I93" s="4">
        <v>0.949999988079071</v>
      </c>
      <c r="J93" s="4">
        <v>0.00999999977648258</v>
      </c>
      <c r="K93" s="4">
        <v>0.0</v>
      </c>
      <c r="L93" s="4">
        <v>0.0</v>
      </c>
      <c r="M93" s="4">
        <v>49.0</v>
      </c>
      <c r="N93" s="4">
        <v>713.0</v>
      </c>
      <c r="O93" s="4">
        <v>1276.0</v>
      </c>
    </row>
    <row r="94">
      <c r="A94" s="4">
        <v>1.844505072E9</v>
      </c>
      <c r="B94" s="5">
        <v>42472.0</v>
      </c>
      <c r="C94" s="4">
        <v>6697.0</v>
      </c>
      <c r="D94" s="4">
        <v>4.42999982833862</v>
      </c>
      <c r="E94" s="4">
        <v>4.42999982833862</v>
      </c>
      <c r="F94" s="4">
        <v>0.0</v>
      </c>
      <c r="G94" s="4">
        <v>0.0</v>
      </c>
      <c r="H94" s="4">
        <v>0.0</v>
      </c>
      <c r="I94" s="4">
        <v>4.42999982833862</v>
      </c>
      <c r="J94" s="4">
        <v>0.0</v>
      </c>
      <c r="K94" s="4">
        <v>0.0</v>
      </c>
      <c r="L94" s="4">
        <v>0.0</v>
      </c>
      <c r="M94" s="4">
        <v>339.0</v>
      </c>
      <c r="N94" s="4">
        <v>1101.0</v>
      </c>
      <c r="O94" s="4">
        <v>2030.0</v>
      </c>
    </row>
    <row r="95">
      <c r="A95" s="4">
        <v>1.844505072E9</v>
      </c>
      <c r="B95" s="5">
        <v>42473.0</v>
      </c>
      <c r="C95" s="4">
        <v>4929.0</v>
      </c>
      <c r="D95" s="4">
        <v>3.25999999046326</v>
      </c>
      <c r="E95" s="4">
        <v>3.25999999046326</v>
      </c>
      <c r="F95" s="4">
        <v>0.0</v>
      </c>
      <c r="G95" s="4">
        <v>0.0</v>
      </c>
      <c r="H95" s="4">
        <v>0.0</v>
      </c>
      <c r="I95" s="4">
        <v>3.25999999046326</v>
      </c>
      <c r="J95" s="4">
        <v>0.0</v>
      </c>
      <c r="K95" s="4">
        <v>0.0</v>
      </c>
      <c r="L95" s="4">
        <v>0.0</v>
      </c>
      <c r="M95" s="4">
        <v>248.0</v>
      </c>
      <c r="N95" s="4">
        <v>1192.0</v>
      </c>
      <c r="O95" s="4">
        <v>1860.0</v>
      </c>
    </row>
    <row r="96">
      <c r="A96" s="4">
        <v>1.844505072E9</v>
      </c>
      <c r="B96" s="5">
        <v>42474.0</v>
      </c>
      <c r="C96" s="4">
        <v>7937.0</v>
      </c>
      <c r="D96" s="4">
        <v>5.25</v>
      </c>
      <c r="E96" s="4">
        <v>5.25</v>
      </c>
      <c r="F96" s="4">
        <v>0.0</v>
      </c>
      <c r="G96" s="4">
        <v>0.0</v>
      </c>
      <c r="H96" s="4">
        <v>0.0</v>
      </c>
      <c r="I96" s="4">
        <v>5.23000001907349</v>
      </c>
      <c r="J96" s="4">
        <v>0.0</v>
      </c>
      <c r="K96" s="4">
        <v>0.0</v>
      </c>
      <c r="L96" s="4">
        <v>0.0</v>
      </c>
      <c r="M96" s="4">
        <v>373.0</v>
      </c>
      <c r="N96" s="4">
        <v>843.0</v>
      </c>
      <c r="O96" s="4">
        <v>2130.0</v>
      </c>
    </row>
    <row r="97">
      <c r="A97" s="4">
        <v>1.844505072E9</v>
      </c>
      <c r="B97" s="5">
        <v>42475.0</v>
      </c>
      <c r="C97" s="4">
        <v>3844.0</v>
      </c>
      <c r="D97" s="4">
        <v>2.53999996185303</v>
      </c>
      <c r="E97" s="4">
        <v>2.53999996185303</v>
      </c>
      <c r="F97" s="4">
        <v>0.0</v>
      </c>
      <c r="G97" s="4">
        <v>0.0</v>
      </c>
      <c r="H97" s="4">
        <v>0.0</v>
      </c>
      <c r="I97" s="4">
        <v>2.53999996185303</v>
      </c>
      <c r="J97" s="4">
        <v>0.0</v>
      </c>
      <c r="K97" s="4">
        <v>0.0</v>
      </c>
      <c r="L97" s="4">
        <v>0.0</v>
      </c>
      <c r="M97" s="4">
        <v>176.0</v>
      </c>
      <c r="N97" s="4">
        <v>527.0</v>
      </c>
      <c r="O97" s="4">
        <v>1725.0</v>
      </c>
    </row>
    <row r="98">
      <c r="A98" s="4">
        <v>1.844505072E9</v>
      </c>
      <c r="B98" s="5">
        <v>42476.0</v>
      </c>
      <c r="C98" s="4">
        <v>3414.0</v>
      </c>
      <c r="D98" s="4">
        <v>2.25999999046326</v>
      </c>
      <c r="E98" s="4">
        <v>2.25999999046326</v>
      </c>
      <c r="F98" s="4">
        <v>0.0</v>
      </c>
      <c r="G98" s="4">
        <v>0.0</v>
      </c>
      <c r="H98" s="4">
        <v>0.0</v>
      </c>
      <c r="I98" s="4">
        <v>2.25999999046326</v>
      </c>
      <c r="J98" s="4">
        <v>0.0</v>
      </c>
      <c r="K98" s="4">
        <v>0.0</v>
      </c>
      <c r="L98" s="4">
        <v>0.0</v>
      </c>
      <c r="M98" s="4">
        <v>147.0</v>
      </c>
      <c r="N98" s="4">
        <v>1293.0</v>
      </c>
      <c r="O98" s="4">
        <v>1657.0</v>
      </c>
    </row>
    <row r="99">
      <c r="A99" s="4">
        <v>1.844505072E9</v>
      </c>
      <c r="B99" s="5">
        <v>42477.0</v>
      </c>
      <c r="C99" s="4">
        <v>4525.0</v>
      </c>
      <c r="D99" s="4">
        <v>2.99000000953674</v>
      </c>
      <c r="E99" s="4">
        <v>2.99000000953674</v>
      </c>
      <c r="F99" s="4">
        <v>0.0</v>
      </c>
      <c r="G99" s="4">
        <v>0.140000000596046</v>
      </c>
      <c r="H99" s="4">
        <v>0.259999990463257</v>
      </c>
      <c r="I99" s="4">
        <v>2.58999991416931</v>
      </c>
      <c r="J99" s="4">
        <v>0.0</v>
      </c>
      <c r="K99" s="4">
        <v>2.0</v>
      </c>
      <c r="L99" s="4">
        <v>8.0</v>
      </c>
      <c r="M99" s="4">
        <v>199.0</v>
      </c>
      <c r="N99" s="4">
        <v>1231.0</v>
      </c>
      <c r="O99" s="4">
        <v>1793.0</v>
      </c>
    </row>
    <row r="100">
      <c r="A100" s="4">
        <v>1.844505072E9</v>
      </c>
      <c r="B100" s="5">
        <v>42478.0</v>
      </c>
      <c r="C100" s="4">
        <v>4597.0</v>
      </c>
      <c r="D100" s="4">
        <v>3.03999996185303</v>
      </c>
      <c r="E100" s="4">
        <v>3.03999996185303</v>
      </c>
      <c r="F100" s="4">
        <v>0.0</v>
      </c>
      <c r="G100" s="4">
        <v>0.0</v>
      </c>
      <c r="H100" s="4">
        <v>0.479999989271164</v>
      </c>
      <c r="I100" s="4">
        <v>2.55999994277954</v>
      </c>
      <c r="J100" s="4">
        <v>0.0</v>
      </c>
      <c r="K100" s="4">
        <v>0.0</v>
      </c>
      <c r="L100" s="4">
        <v>12.0</v>
      </c>
      <c r="M100" s="4">
        <v>217.0</v>
      </c>
      <c r="N100" s="4">
        <v>1211.0</v>
      </c>
      <c r="O100" s="4">
        <v>1814.0</v>
      </c>
    </row>
    <row r="101">
      <c r="A101" s="4">
        <v>1.844505072E9</v>
      </c>
      <c r="B101" s="5">
        <v>42479.0</v>
      </c>
      <c r="C101" s="4">
        <v>197.0</v>
      </c>
      <c r="D101" s="4">
        <v>0.129999995231628</v>
      </c>
      <c r="E101" s="4">
        <v>0.129999995231628</v>
      </c>
      <c r="F101" s="4">
        <v>0.0</v>
      </c>
      <c r="G101" s="4">
        <v>0.0</v>
      </c>
      <c r="H101" s="4">
        <v>0.0</v>
      </c>
      <c r="I101" s="4">
        <v>0.129999995231628</v>
      </c>
      <c r="J101" s="4">
        <v>0.0</v>
      </c>
      <c r="K101" s="4">
        <v>0.0</v>
      </c>
      <c r="L101" s="4">
        <v>0.0</v>
      </c>
      <c r="M101" s="4">
        <v>10.0</v>
      </c>
      <c r="N101" s="4">
        <v>1430.0</v>
      </c>
      <c r="O101" s="4">
        <v>1366.0</v>
      </c>
    </row>
    <row r="102">
      <c r="A102" s="4">
        <v>1.844505072E9</v>
      </c>
      <c r="B102" s="5">
        <v>42480.0</v>
      </c>
      <c r="C102" s="4">
        <v>8.0</v>
      </c>
      <c r="D102" s="4">
        <v>0.00999999977648258</v>
      </c>
      <c r="E102" s="4">
        <v>0.00999999977648258</v>
      </c>
      <c r="F102" s="4">
        <v>0.0</v>
      </c>
      <c r="G102" s="4">
        <v>0.0</v>
      </c>
      <c r="H102" s="4">
        <v>0.0</v>
      </c>
      <c r="I102" s="4">
        <v>0.00999999977648258</v>
      </c>
      <c r="J102" s="4">
        <v>0.0</v>
      </c>
      <c r="K102" s="4">
        <v>0.0</v>
      </c>
      <c r="L102" s="4">
        <v>0.0</v>
      </c>
      <c r="M102" s="4">
        <v>1.0</v>
      </c>
      <c r="N102" s="4">
        <v>1439.0</v>
      </c>
      <c r="O102" s="4">
        <v>1349.0</v>
      </c>
    </row>
    <row r="103">
      <c r="A103" s="4">
        <v>1.844505072E9</v>
      </c>
      <c r="B103" s="5">
        <v>42481.0</v>
      </c>
      <c r="C103" s="4">
        <v>8054.0</v>
      </c>
      <c r="D103" s="4">
        <v>5.32000017166138</v>
      </c>
      <c r="E103" s="4">
        <v>5.32000017166138</v>
      </c>
      <c r="F103" s="4">
        <v>0.0</v>
      </c>
      <c r="G103" s="4">
        <v>0.119999997317791</v>
      </c>
      <c r="H103" s="4">
        <v>0.519999980926514</v>
      </c>
      <c r="I103" s="4">
        <v>4.67999982833862</v>
      </c>
      <c r="J103" s="4">
        <v>0.0</v>
      </c>
      <c r="K103" s="4">
        <v>2.0</v>
      </c>
      <c r="L103" s="4">
        <v>13.0</v>
      </c>
      <c r="M103" s="4">
        <v>308.0</v>
      </c>
      <c r="N103" s="4">
        <v>1117.0</v>
      </c>
      <c r="O103" s="4">
        <v>2062.0</v>
      </c>
    </row>
    <row r="104">
      <c r="A104" s="4">
        <v>1.844505072E9</v>
      </c>
      <c r="B104" s="5">
        <v>42482.0</v>
      </c>
      <c r="C104" s="4">
        <v>5372.0</v>
      </c>
      <c r="D104" s="4">
        <v>3.54999995231628</v>
      </c>
      <c r="E104" s="4">
        <v>3.54999995231628</v>
      </c>
      <c r="F104" s="4">
        <v>0.0</v>
      </c>
      <c r="G104" s="4">
        <v>0.0</v>
      </c>
      <c r="H104" s="4">
        <v>0.0</v>
      </c>
      <c r="I104" s="4">
        <v>3.54999995231628</v>
      </c>
      <c r="J104" s="4">
        <v>0.0</v>
      </c>
      <c r="K104" s="4">
        <v>0.0</v>
      </c>
      <c r="L104" s="4">
        <v>0.0</v>
      </c>
      <c r="M104" s="4">
        <v>220.0</v>
      </c>
      <c r="N104" s="4">
        <v>1220.0</v>
      </c>
      <c r="O104" s="4">
        <v>1827.0</v>
      </c>
    </row>
    <row r="105">
      <c r="A105" s="4">
        <v>1.844505072E9</v>
      </c>
      <c r="B105" s="5">
        <v>42483.0</v>
      </c>
      <c r="C105" s="4">
        <v>3570.0</v>
      </c>
      <c r="D105" s="4">
        <v>2.35999989509583</v>
      </c>
      <c r="E105" s="4">
        <v>2.35999989509583</v>
      </c>
      <c r="F105" s="4">
        <v>0.0</v>
      </c>
      <c r="G105" s="4">
        <v>0.0</v>
      </c>
      <c r="H105" s="4">
        <v>0.0</v>
      </c>
      <c r="I105" s="4">
        <v>2.35999989509583</v>
      </c>
      <c r="J105" s="4">
        <v>0.0</v>
      </c>
      <c r="K105" s="4">
        <v>0.0</v>
      </c>
      <c r="L105" s="4">
        <v>0.0</v>
      </c>
      <c r="M105" s="4">
        <v>139.0</v>
      </c>
      <c r="N105" s="4">
        <v>1301.0</v>
      </c>
      <c r="O105" s="4">
        <v>1645.0</v>
      </c>
    </row>
    <row r="106">
      <c r="A106" s="4">
        <v>1.844505072E9</v>
      </c>
      <c r="B106" s="5">
        <v>42484.0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1440.0</v>
      </c>
      <c r="O106" s="4">
        <v>1347.0</v>
      </c>
    </row>
    <row r="107">
      <c r="A107" s="4">
        <v>1.844505072E9</v>
      </c>
      <c r="B107" s="5">
        <v>42485.0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1440.0</v>
      </c>
      <c r="O107" s="4">
        <v>1347.0</v>
      </c>
    </row>
    <row r="108">
      <c r="A108" s="4">
        <v>1.844505072E9</v>
      </c>
      <c r="B108" s="5">
        <v>42486.0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1440.0</v>
      </c>
      <c r="O108" s="4">
        <v>1347.0</v>
      </c>
    </row>
    <row r="109">
      <c r="A109" s="4">
        <v>1.844505072E9</v>
      </c>
      <c r="B109" s="5">
        <v>42487.0</v>
      </c>
      <c r="C109" s="4">
        <v>4.0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1.0</v>
      </c>
      <c r="N109" s="4">
        <v>1439.0</v>
      </c>
      <c r="O109" s="4">
        <v>1348.0</v>
      </c>
    </row>
    <row r="110">
      <c r="A110" s="4">
        <v>1.844505072E9</v>
      </c>
      <c r="B110" s="5">
        <v>42488.0</v>
      </c>
      <c r="C110" s="4">
        <v>6907.0</v>
      </c>
      <c r="D110" s="4">
        <v>4.57000017166138</v>
      </c>
      <c r="E110" s="4">
        <v>4.57000017166138</v>
      </c>
      <c r="F110" s="4">
        <v>0.0</v>
      </c>
      <c r="G110" s="4">
        <v>0.0</v>
      </c>
      <c r="H110" s="4">
        <v>0.0</v>
      </c>
      <c r="I110" s="4">
        <v>4.55999994277954</v>
      </c>
      <c r="J110" s="4">
        <v>0.0</v>
      </c>
      <c r="K110" s="4">
        <v>0.0</v>
      </c>
      <c r="L110" s="4">
        <v>0.0</v>
      </c>
      <c r="M110" s="4">
        <v>302.0</v>
      </c>
      <c r="N110" s="4">
        <v>1138.0</v>
      </c>
      <c r="O110" s="4">
        <v>1992.0</v>
      </c>
    </row>
    <row r="111">
      <c r="A111" s="4">
        <v>1.844505072E9</v>
      </c>
      <c r="B111" s="5">
        <v>42489.0</v>
      </c>
      <c r="C111" s="4">
        <v>4920.0</v>
      </c>
      <c r="D111" s="4">
        <v>3.25</v>
      </c>
      <c r="E111" s="4">
        <v>3.25</v>
      </c>
      <c r="F111" s="4">
        <v>0.0</v>
      </c>
      <c r="G111" s="4">
        <v>0.0</v>
      </c>
      <c r="H111" s="4">
        <v>0.0</v>
      </c>
      <c r="I111" s="4">
        <v>3.25</v>
      </c>
      <c r="J111" s="4">
        <v>0.0</v>
      </c>
      <c r="K111" s="4">
        <v>0.0</v>
      </c>
      <c r="L111" s="4">
        <v>0.0</v>
      </c>
      <c r="M111" s="4">
        <v>247.0</v>
      </c>
      <c r="N111" s="4">
        <v>1082.0</v>
      </c>
      <c r="O111" s="4">
        <v>1856.0</v>
      </c>
    </row>
    <row r="112">
      <c r="A112" s="4">
        <v>1.844505072E9</v>
      </c>
      <c r="B112" s="5">
        <v>42490.0</v>
      </c>
      <c r="C112" s="4">
        <v>4014.0</v>
      </c>
      <c r="D112" s="4">
        <v>2.67000007629395</v>
      </c>
      <c r="E112" s="4">
        <v>2.67000007629395</v>
      </c>
      <c r="F112" s="4">
        <v>0.0</v>
      </c>
      <c r="G112" s="4">
        <v>0.0</v>
      </c>
      <c r="H112" s="4">
        <v>0.0</v>
      </c>
      <c r="I112" s="4">
        <v>2.65000009536743</v>
      </c>
      <c r="J112" s="4">
        <v>0.0</v>
      </c>
      <c r="K112" s="4">
        <v>0.0</v>
      </c>
      <c r="L112" s="4">
        <v>0.0</v>
      </c>
      <c r="M112" s="4">
        <v>184.0</v>
      </c>
      <c r="N112" s="4">
        <v>218.0</v>
      </c>
      <c r="O112" s="4">
        <v>1763.0</v>
      </c>
    </row>
    <row r="113">
      <c r="A113" s="4">
        <v>1.844505072E9</v>
      </c>
      <c r="B113" s="5">
        <v>42491.0</v>
      </c>
      <c r="C113" s="4">
        <v>2573.0</v>
      </c>
      <c r="D113" s="4">
        <v>1.70000004768372</v>
      </c>
      <c r="E113" s="4">
        <v>1.70000004768372</v>
      </c>
      <c r="F113" s="4">
        <v>0.0</v>
      </c>
      <c r="G113" s="4">
        <v>0.0</v>
      </c>
      <c r="H113" s="4">
        <v>0.259999990463257</v>
      </c>
      <c r="I113" s="4">
        <v>1.45000004768372</v>
      </c>
      <c r="J113" s="4">
        <v>0.0</v>
      </c>
      <c r="K113" s="4">
        <v>0.0</v>
      </c>
      <c r="L113" s="4">
        <v>7.0</v>
      </c>
      <c r="M113" s="4">
        <v>75.0</v>
      </c>
      <c r="N113" s="4">
        <v>585.0</v>
      </c>
      <c r="O113" s="4">
        <v>1541.0</v>
      </c>
    </row>
    <row r="114">
      <c r="A114" s="4">
        <v>1.844505072E9</v>
      </c>
      <c r="B114" s="5">
        <v>42492.0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1440.0</v>
      </c>
      <c r="O114" s="4">
        <v>1348.0</v>
      </c>
    </row>
    <row r="115">
      <c r="A115" s="4">
        <v>1.844505072E9</v>
      </c>
      <c r="B115" s="5">
        <v>42493.0</v>
      </c>
      <c r="C115" s="4">
        <v>4059.0</v>
      </c>
      <c r="D115" s="4">
        <v>2.6800000667572</v>
      </c>
      <c r="E115" s="4">
        <v>2.6800000667572</v>
      </c>
      <c r="F115" s="4">
        <v>0.0</v>
      </c>
      <c r="G115" s="4">
        <v>0.0</v>
      </c>
      <c r="H115" s="4">
        <v>0.0</v>
      </c>
      <c r="I115" s="4">
        <v>2.6800000667572</v>
      </c>
      <c r="J115" s="4">
        <v>0.0</v>
      </c>
      <c r="K115" s="4">
        <v>0.0</v>
      </c>
      <c r="L115" s="4">
        <v>0.0</v>
      </c>
      <c r="M115" s="4">
        <v>184.0</v>
      </c>
      <c r="N115" s="4">
        <v>1256.0</v>
      </c>
      <c r="O115" s="4">
        <v>1742.0</v>
      </c>
    </row>
    <row r="116">
      <c r="A116" s="4">
        <v>1.844505072E9</v>
      </c>
      <c r="B116" s="5">
        <v>42494.0</v>
      </c>
      <c r="C116" s="4">
        <v>2080.0</v>
      </c>
      <c r="D116" s="4">
        <v>1.37000000476837</v>
      </c>
      <c r="E116" s="4">
        <v>1.37000000476837</v>
      </c>
      <c r="F116" s="4">
        <v>0.0</v>
      </c>
      <c r="G116" s="4">
        <v>0.0</v>
      </c>
      <c r="H116" s="4">
        <v>0.0</v>
      </c>
      <c r="I116" s="4">
        <v>1.37000000476837</v>
      </c>
      <c r="J116" s="4">
        <v>0.0</v>
      </c>
      <c r="K116" s="4">
        <v>0.0</v>
      </c>
      <c r="L116" s="4">
        <v>0.0</v>
      </c>
      <c r="M116" s="4">
        <v>87.0</v>
      </c>
      <c r="N116" s="4">
        <v>1353.0</v>
      </c>
      <c r="O116" s="4">
        <v>1549.0</v>
      </c>
    </row>
    <row r="117">
      <c r="A117" s="4">
        <v>1.844505072E9</v>
      </c>
      <c r="B117" s="5">
        <v>42495.0</v>
      </c>
      <c r="C117" s="4">
        <v>2237.0</v>
      </c>
      <c r="D117" s="4">
        <v>1.48000001907349</v>
      </c>
      <c r="E117" s="4">
        <v>1.48000001907349</v>
      </c>
      <c r="F117" s="4">
        <v>0.0</v>
      </c>
      <c r="G117" s="4">
        <v>0.0</v>
      </c>
      <c r="H117" s="4">
        <v>0.0</v>
      </c>
      <c r="I117" s="4">
        <v>1.48000001907349</v>
      </c>
      <c r="J117" s="4">
        <v>0.0</v>
      </c>
      <c r="K117" s="4">
        <v>0.0</v>
      </c>
      <c r="L117" s="4">
        <v>0.0</v>
      </c>
      <c r="M117" s="4">
        <v>120.0</v>
      </c>
      <c r="N117" s="4">
        <v>1320.0</v>
      </c>
      <c r="O117" s="4">
        <v>1589.0</v>
      </c>
    </row>
    <row r="118">
      <c r="A118" s="4">
        <v>1.844505072E9</v>
      </c>
      <c r="B118" s="5">
        <v>42496.0</v>
      </c>
      <c r="C118" s="4">
        <v>44.0</v>
      </c>
      <c r="D118" s="4">
        <v>0.0299999993294477</v>
      </c>
      <c r="E118" s="4">
        <v>0.0299999993294477</v>
      </c>
      <c r="F118" s="4">
        <v>0.0</v>
      </c>
      <c r="G118" s="4">
        <v>0.0</v>
      </c>
      <c r="H118" s="4">
        <v>0.0</v>
      </c>
      <c r="I118" s="4">
        <v>0.0299999993294477</v>
      </c>
      <c r="J118" s="4">
        <v>0.0</v>
      </c>
      <c r="K118" s="4">
        <v>0.0</v>
      </c>
      <c r="L118" s="4">
        <v>0.0</v>
      </c>
      <c r="M118" s="4">
        <v>2.0</v>
      </c>
      <c r="N118" s="4">
        <v>1438.0</v>
      </c>
      <c r="O118" s="4">
        <v>1351.0</v>
      </c>
    </row>
    <row r="119">
      <c r="A119" s="4">
        <v>1.844505072E9</v>
      </c>
      <c r="B119" s="5">
        <v>42497.0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1440.0</v>
      </c>
      <c r="O119" s="4">
        <v>1347.0</v>
      </c>
    </row>
    <row r="120">
      <c r="A120" s="4">
        <v>1.844505072E9</v>
      </c>
      <c r="B120" s="5">
        <v>42498.0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1440.0</v>
      </c>
      <c r="O120" s="4">
        <v>1347.0</v>
      </c>
    </row>
    <row r="121">
      <c r="A121" s="4">
        <v>1.844505072E9</v>
      </c>
      <c r="B121" s="5">
        <v>42499.0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1440.0</v>
      </c>
      <c r="O121" s="4">
        <v>1347.0</v>
      </c>
    </row>
    <row r="122">
      <c r="A122" s="4">
        <v>1.844505072E9</v>
      </c>
      <c r="B122" s="5">
        <v>42500.0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1440.0</v>
      </c>
      <c r="O122" s="4">
        <v>1347.0</v>
      </c>
    </row>
    <row r="123">
      <c r="A123" s="4">
        <v>1.844505072E9</v>
      </c>
      <c r="B123" s="5">
        <v>42501.0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1440.0</v>
      </c>
      <c r="O123" s="4">
        <v>1347.0</v>
      </c>
    </row>
    <row r="124">
      <c r="A124" s="4">
        <v>1.844505072E9</v>
      </c>
      <c r="B124" s="5">
        <v>42502.0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711.0</v>
      </c>
      <c r="O124" s="4">
        <v>665.0</v>
      </c>
    </row>
    <row r="125">
      <c r="A125" s="4">
        <v>1.927972279E9</v>
      </c>
      <c r="B125" s="5">
        <v>42472.0</v>
      </c>
      <c r="C125" s="4">
        <v>678.0</v>
      </c>
      <c r="D125" s="4">
        <v>0.469999998807907</v>
      </c>
      <c r="E125" s="4">
        <v>0.469999998807907</v>
      </c>
      <c r="F125" s="4">
        <v>0.0</v>
      </c>
      <c r="G125" s="4">
        <v>0.0</v>
      </c>
      <c r="H125" s="4">
        <v>0.0</v>
      </c>
      <c r="I125" s="4">
        <v>0.469999998807907</v>
      </c>
      <c r="J125" s="4">
        <v>0.0</v>
      </c>
      <c r="K125" s="4">
        <v>0.0</v>
      </c>
      <c r="L125" s="4">
        <v>0.0</v>
      </c>
      <c r="M125" s="4">
        <v>55.0</v>
      </c>
      <c r="N125" s="4">
        <v>734.0</v>
      </c>
      <c r="O125" s="4">
        <v>2220.0</v>
      </c>
    </row>
    <row r="126">
      <c r="A126" s="4">
        <v>1.927972279E9</v>
      </c>
      <c r="B126" s="5">
        <v>42473.0</v>
      </c>
      <c r="C126" s="4">
        <v>356.0</v>
      </c>
      <c r="D126" s="4">
        <v>0.25</v>
      </c>
      <c r="E126" s="4">
        <v>0.25</v>
      </c>
      <c r="F126" s="4">
        <v>0.0</v>
      </c>
      <c r="G126" s="4">
        <v>0.0</v>
      </c>
      <c r="H126" s="4">
        <v>0.0</v>
      </c>
      <c r="I126" s="4">
        <v>0.25</v>
      </c>
      <c r="J126" s="4">
        <v>0.0</v>
      </c>
      <c r="K126" s="4">
        <v>0.0</v>
      </c>
      <c r="L126" s="4">
        <v>0.0</v>
      </c>
      <c r="M126" s="4">
        <v>32.0</v>
      </c>
      <c r="N126" s="4">
        <v>986.0</v>
      </c>
      <c r="O126" s="4">
        <v>2151.0</v>
      </c>
    </row>
    <row r="127">
      <c r="A127" s="4">
        <v>1.927972279E9</v>
      </c>
      <c r="B127" s="5">
        <v>42474.0</v>
      </c>
      <c r="C127" s="4">
        <v>2163.0</v>
      </c>
      <c r="D127" s="4">
        <v>1.5</v>
      </c>
      <c r="E127" s="4">
        <v>1.5</v>
      </c>
      <c r="F127" s="4">
        <v>0.0</v>
      </c>
      <c r="G127" s="4">
        <v>0.0</v>
      </c>
      <c r="H127" s="4">
        <v>0.400000005960464</v>
      </c>
      <c r="I127" s="4">
        <v>1.10000002384186</v>
      </c>
      <c r="J127" s="4">
        <v>0.0</v>
      </c>
      <c r="K127" s="4">
        <v>0.0</v>
      </c>
      <c r="L127" s="4">
        <v>9.0</v>
      </c>
      <c r="M127" s="4">
        <v>88.0</v>
      </c>
      <c r="N127" s="4">
        <v>1292.0</v>
      </c>
      <c r="O127" s="4">
        <v>2383.0</v>
      </c>
    </row>
    <row r="128">
      <c r="A128" s="4">
        <v>1.927972279E9</v>
      </c>
      <c r="B128" s="5">
        <v>42475.0</v>
      </c>
      <c r="C128" s="4">
        <v>980.0</v>
      </c>
      <c r="D128" s="4">
        <v>0.680000007152557</v>
      </c>
      <c r="E128" s="4">
        <v>0.680000007152557</v>
      </c>
      <c r="F128" s="4">
        <v>0.0</v>
      </c>
      <c r="G128" s="4">
        <v>0.0</v>
      </c>
      <c r="H128" s="4">
        <v>0.0</v>
      </c>
      <c r="I128" s="4">
        <v>0.680000007152557</v>
      </c>
      <c r="J128" s="4">
        <v>0.0</v>
      </c>
      <c r="K128" s="4">
        <v>0.0</v>
      </c>
      <c r="L128" s="4">
        <v>0.0</v>
      </c>
      <c r="M128" s="4">
        <v>51.0</v>
      </c>
      <c r="N128" s="4">
        <v>941.0</v>
      </c>
      <c r="O128" s="4">
        <v>2221.0</v>
      </c>
    </row>
    <row r="129">
      <c r="A129" s="4">
        <v>1.927972279E9</v>
      </c>
      <c r="B129" s="5">
        <v>42476.0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1440.0</v>
      </c>
      <c r="O129" s="4">
        <v>2064.0</v>
      </c>
    </row>
    <row r="130">
      <c r="A130" s="4">
        <v>1.927972279E9</v>
      </c>
      <c r="B130" s="5">
        <v>42477.0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1440.0</v>
      </c>
      <c r="O130" s="4">
        <v>2063.0</v>
      </c>
    </row>
    <row r="131">
      <c r="A131" s="4">
        <v>1.927972279E9</v>
      </c>
      <c r="B131" s="5">
        <v>42478.0</v>
      </c>
      <c r="C131" s="4">
        <v>244.0</v>
      </c>
      <c r="D131" s="4">
        <v>0.170000001788139</v>
      </c>
      <c r="E131" s="4">
        <v>0.170000001788139</v>
      </c>
      <c r="F131" s="4">
        <v>0.0</v>
      </c>
      <c r="G131" s="4">
        <v>0.0</v>
      </c>
      <c r="H131" s="4">
        <v>0.0</v>
      </c>
      <c r="I131" s="4">
        <v>0.170000001788139</v>
      </c>
      <c r="J131" s="4">
        <v>0.0</v>
      </c>
      <c r="K131" s="4">
        <v>0.0</v>
      </c>
      <c r="L131" s="4">
        <v>0.0</v>
      </c>
      <c r="M131" s="4">
        <v>17.0</v>
      </c>
      <c r="N131" s="4">
        <v>1423.0</v>
      </c>
      <c r="O131" s="4">
        <v>2111.0</v>
      </c>
    </row>
    <row r="132">
      <c r="A132" s="4">
        <v>1.927972279E9</v>
      </c>
      <c r="B132" s="5">
        <v>42479.0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1440.0</v>
      </c>
      <c r="O132" s="4">
        <v>2063.0</v>
      </c>
    </row>
    <row r="133">
      <c r="A133" s="4">
        <v>1.927972279E9</v>
      </c>
      <c r="B133" s="5">
        <v>42480.0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1440.0</v>
      </c>
      <c r="O133" s="4">
        <v>2063.0</v>
      </c>
    </row>
    <row r="134">
      <c r="A134" s="4">
        <v>1.927972279E9</v>
      </c>
      <c r="B134" s="5">
        <v>42481.0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1440.0</v>
      </c>
      <c r="O134" s="4">
        <v>2064.0</v>
      </c>
    </row>
    <row r="135">
      <c r="A135" s="4">
        <v>1.927972279E9</v>
      </c>
      <c r="B135" s="5">
        <v>42482.0</v>
      </c>
      <c r="C135" s="4">
        <v>149.0</v>
      </c>
      <c r="D135" s="4">
        <v>0.100000001490116</v>
      </c>
      <c r="E135" s="4">
        <v>0.100000001490116</v>
      </c>
      <c r="F135" s="4">
        <v>0.0</v>
      </c>
      <c r="G135" s="4">
        <v>0.0</v>
      </c>
      <c r="H135" s="4">
        <v>0.0</v>
      </c>
      <c r="I135" s="4">
        <v>0.100000001490116</v>
      </c>
      <c r="J135" s="4">
        <v>0.0</v>
      </c>
      <c r="K135" s="4">
        <v>0.0</v>
      </c>
      <c r="L135" s="4">
        <v>0.0</v>
      </c>
      <c r="M135" s="4">
        <v>10.0</v>
      </c>
      <c r="N135" s="4">
        <v>1430.0</v>
      </c>
      <c r="O135" s="4">
        <v>2093.0</v>
      </c>
    </row>
    <row r="136">
      <c r="A136" s="4">
        <v>1.927972279E9</v>
      </c>
      <c r="B136" s="5">
        <v>42483.0</v>
      </c>
      <c r="C136" s="4">
        <v>2945.0</v>
      </c>
      <c r="D136" s="4">
        <v>2.03999996185303</v>
      </c>
      <c r="E136" s="4">
        <v>2.03999996185303</v>
      </c>
      <c r="F136" s="4">
        <v>0.0</v>
      </c>
      <c r="G136" s="4">
        <v>0.0</v>
      </c>
      <c r="H136" s="4">
        <v>0.0</v>
      </c>
      <c r="I136" s="4">
        <v>2.03999996185303</v>
      </c>
      <c r="J136" s="4">
        <v>0.0</v>
      </c>
      <c r="K136" s="4">
        <v>0.0</v>
      </c>
      <c r="L136" s="4">
        <v>0.0</v>
      </c>
      <c r="M136" s="4">
        <v>145.0</v>
      </c>
      <c r="N136" s="4">
        <v>1295.0</v>
      </c>
      <c r="O136" s="4">
        <v>2499.0</v>
      </c>
    </row>
    <row r="137">
      <c r="A137" s="4">
        <v>1.927972279E9</v>
      </c>
      <c r="B137" s="5">
        <v>42484.0</v>
      </c>
      <c r="C137" s="4">
        <v>2090.0</v>
      </c>
      <c r="D137" s="4">
        <v>1.45000004768372</v>
      </c>
      <c r="E137" s="4">
        <v>1.45000004768372</v>
      </c>
      <c r="F137" s="4">
        <v>0.0</v>
      </c>
      <c r="G137" s="4">
        <v>0.0700000002980232</v>
      </c>
      <c r="H137" s="4">
        <v>0.239999994635582</v>
      </c>
      <c r="I137" s="4">
        <v>1.13999998569489</v>
      </c>
      <c r="J137" s="4">
        <v>0.0</v>
      </c>
      <c r="K137" s="4">
        <v>1.0</v>
      </c>
      <c r="L137" s="4">
        <v>6.0</v>
      </c>
      <c r="M137" s="4">
        <v>75.0</v>
      </c>
      <c r="N137" s="4">
        <v>1358.0</v>
      </c>
      <c r="O137" s="4">
        <v>2324.0</v>
      </c>
    </row>
    <row r="138">
      <c r="A138" s="4">
        <v>1.927972279E9</v>
      </c>
      <c r="B138" s="5">
        <v>42485.0</v>
      </c>
      <c r="C138" s="4">
        <v>152.0</v>
      </c>
      <c r="D138" s="4">
        <v>0.109999999403954</v>
      </c>
      <c r="E138" s="4">
        <v>0.109999999403954</v>
      </c>
      <c r="F138" s="4">
        <v>0.0</v>
      </c>
      <c r="G138" s="4">
        <v>0.0</v>
      </c>
      <c r="H138" s="4">
        <v>0.0</v>
      </c>
      <c r="I138" s="4">
        <v>0.109999999403954</v>
      </c>
      <c r="J138" s="4">
        <v>0.0</v>
      </c>
      <c r="K138" s="4">
        <v>0.0</v>
      </c>
      <c r="L138" s="4">
        <v>0.0</v>
      </c>
      <c r="M138" s="4">
        <v>12.0</v>
      </c>
      <c r="N138" s="4">
        <v>1303.0</v>
      </c>
      <c r="O138" s="4">
        <v>2100.0</v>
      </c>
    </row>
    <row r="139">
      <c r="A139" s="4">
        <v>1.927972279E9</v>
      </c>
      <c r="B139" s="5">
        <v>42486.0</v>
      </c>
      <c r="C139" s="4">
        <v>3761.0</v>
      </c>
      <c r="D139" s="4">
        <v>2.59999990463257</v>
      </c>
      <c r="E139" s="4">
        <v>2.59999990463257</v>
      </c>
      <c r="F139" s="4">
        <v>0.0</v>
      </c>
      <c r="G139" s="4">
        <v>0.0</v>
      </c>
      <c r="H139" s="4">
        <v>0.0</v>
      </c>
      <c r="I139" s="4">
        <v>2.59999990463257</v>
      </c>
      <c r="J139" s="4">
        <v>0.0</v>
      </c>
      <c r="K139" s="4">
        <v>0.0</v>
      </c>
      <c r="L139" s="4">
        <v>0.0</v>
      </c>
      <c r="M139" s="4">
        <v>192.0</v>
      </c>
      <c r="N139" s="4">
        <v>1058.0</v>
      </c>
      <c r="O139" s="4">
        <v>2638.0</v>
      </c>
    </row>
    <row r="140">
      <c r="A140" s="4">
        <v>1.927972279E9</v>
      </c>
      <c r="B140" s="5">
        <v>42487.0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1440.0</v>
      </c>
      <c r="O140" s="4">
        <v>2063.0</v>
      </c>
    </row>
    <row r="141">
      <c r="A141" s="4">
        <v>1.927972279E9</v>
      </c>
      <c r="B141" s="5">
        <v>42488.0</v>
      </c>
      <c r="C141" s="4">
        <v>1675.0</v>
      </c>
      <c r="D141" s="4">
        <v>1.1599999666214</v>
      </c>
      <c r="E141" s="4">
        <v>1.1599999666214</v>
      </c>
      <c r="F141" s="4">
        <v>0.0</v>
      </c>
      <c r="G141" s="4">
        <v>0.0</v>
      </c>
      <c r="H141" s="4">
        <v>0.0</v>
      </c>
      <c r="I141" s="4">
        <v>1.1599999666214</v>
      </c>
      <c r="J141" s="4">
        <v>0.0</v>
      </c>
      <c r="K141" s="4">
        <v>0.0</v>
      </c>
      <c r="L141" s="4">
        <v>0.0</v>
      </c>
      <c r="M141" s="4">
        <v>95.0</v>
      </c>
      <c r="N141" s="4">
        <v>1167.0</v>
      </c>
      <c r="O141" s="4">
        <v>2351.0</v>
      </c>
    </row>
    <row r="142">
      <c r="A142" s="4">
        <v>1.927972279E9</v>
      </c>
      <c r="B142" s="5">
        <v>42489.0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1440.0</v>
      </c>
      <c r="O142" s="4">
        <v>2063.0</v>
      </c>
    </row>
    <row r="143">
      <c r="A143" s="4">
        <v>1.927972279E9</v>
      </c>
      <c r="B143" s="5">
        <v>42490.0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1440.0</v>
      </c>
      <c r="O143" s="4">
        <v>2064.0</v>
      </c>
    </row>
    <row r="144">
      <c r="A144" s="4">
        <v>1.927972279E9</v>
      </c>
      <c r="B144" s="5">
        <v>42491.0</v>
      </c>
      <c r="C144" s="4">
        <v>2704.0</v>
      </c>
      <c r="D144" s="4">
        <v>1.87000000476837</v>
      </c>
      <c r="E144" s="4">
        <v>1.87000000476837</v>
      </c>
      <c r="F144" s="4">
        <v>0.0</v>
      </c>
      <c r="G144" s="4">
        <v>1.00999999046326</v>
      </c>
      <c r="H144" s="4">
        <v>0.0299999993294477</v>
      </c>
      <c r="I144" s="4">
        <v>0.829999983310699</v>
      </c>
      <c r="J144" s="4">
        <v>0.0</v>
      </c>
      <c r="K144" s="4">
        <v>14.0</v>
      </c>
      <c r="L144" s="4">
        <v>1.0</v>
      </c>
      <c r="M144" s="4">
        <v>70.0</v>
      </c>
      <c r="N144" s="4">
        <v>1355.0</v>
      </c>
      <c r="O144" s="4">
        <v>2411.0</v>
      </c>
    </row>
    <row r="145">
      <c r="A145" s="4">
        <v>1.927972279E9</v>
      </c>
      <c r="B145" s="5">
        <v>42492.0</v>
      </c>
      <c r="C145" s="4">
        <v>3790.0</v>
      </c>
      <c r="D145" s="4">
        <v>2.61999988555908</v>
      </c>
      <c r="E145" s="4">
        <v>2.61999988555908</v>
      </c>
      <c r="F145" s="4">
        <v>0.0</v>
      </c>
      <c r="G145" s="4">
        <v>1.1599999666214</v>
      </c>
      <c r="H145" s="4">
        <v>0.300000011920929</v>
      </c>
      <c r="I145" s="4">
        <v>1.1599999666214</v>
      </c>
      <c r="J145" s="4">
        <v>0.0</v>
      </c>
      <c r="K145" s="4">
        <v>16.0</v>
      </c>
      <c r="L145" s="4">
        <v>8.0</v>
      </c>
      <c r="M145" s="4">
        <v>94.0</v>
      </c>
      <c r="N145" s="4">
        <v>1322.0</v>
      </c>
      <c r="O145" s="4">
        <v>2505.0</v>
      </c>
    </row>
    <row r="146">
      <c r="A146" s="4">
        <v>1.927972279E9</v>
      </c>
      <c r="B146" s="5">
        <v>42493.0</v>
      </c>
      <c r="C146" s="4">
        <v>1326.0</v>
      </c>
      <c r="D146" s="4">
        <v>0.920000016689301</v>
      </c>
      <c r="E146" s="4">
        <v>0.920000016689301</v>
      </c>
      <c r="F146" s="4">
        <v>0.0</v>
      </c>
      <c r="G146" s="4">
        <v>0.730000019073486</v>
      </c>
      <c r="H146" s="4">
        <v>0.0</v>
      </c>
      <c r="I146" s="4">
        <v>0.180000007152557</v>
      </c>
      <c r="J146" s="4">
        <v>0.0</v>
      </c>
      <c r="K146" s="4">
        <v>10.0</v>
      </c>
      <c r="L146" s="4">
        <v>0.0</v>
      </c>
      <c r="M146" s="4">
        <v>17.0</v>
      </c>
      <c r="N146" s="4">
        <v>1413.0</v>
      </c>
      <c r="O146" s="4">
        <v>2195.0</v>
      </c>
    </row>
    <row r="147">
      <c r="A147" s="4">
        <v>1.927972279E9</v>
      </c>
      <c r="B147" s="5">
        <v>42494.0</v>
      </c>
      <c r="C147" s="4">
        <v>1786.0</v>
      </c>
      <c r="D147" s="4">
        <v>1.24000000953674</v>
      </c>
      <c r="E147" s="4">
        <v>1.24000000953674</v>
      </c>
      <c r="F147" s="4">
        <v>0.0</v>
      </c>
      <c r="G147" s="4">
        <v>0.0</v>
      </c>
      <c r="H147" s="4">
        <v>0.0</v>
      </c>
      <c r="I147" s="4">
        <v>1.24000000953674</v>
      </c>
      <c r="J147" s="4">
        <v>0.0</v>
      </c>
      <c r="K147" s="4">
        <v>0.0</v>
      </c>
      <c r="L147" s="4">
        <v>0.0</v>
      </c>
      <c r="M147" s="4">
        <v>87.0</v>
      </c>
      <c r="N147" s="4">
        <v>1353.0</v>
      </c>
      <c r="O147" s="4">
        <v>2338.0</v>
      </c>
    </row>
    <row r="148">
      <c r="A148" s="4">
        <v>1.927972279E9</v>
      </c>
      <c r="B148" s="5">
        <v>42495.0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1440.0</v>
      </c>
      <c r="O148" s="4">
        <v>2063.0</v>
      </c>
    </row>
    <row r="149">
      <c r="A149" s="4">
        <v>1.927972279E9</v>
      </c>
      <c r="B149" s="5">
        <v>42496.0</v>
      </c>
      <c r="C149" s="4">
        <v>2091.0</v>
      </c>
      <c r="D149" s="4">
        <v>1.45000004768372</v>
      </c>
      <c r="E149" s="4">
        <v>1.45000004768372</v>
      </c>
      <c r="F149" s="4">
        <v>0.0</v>
      </c>
      <c r="G149" s="4">
        <v>0.0</v>
      </c>
      <c r="H149" s="4">
        <v>0.0</v>
      </c>
      <c r="I149" s="4">
        <v>1.45000004768372</v>
      </c>
      <c r="J149" s="4">
        <v>0.0</v>
      </c>
      <c r="K149" s="4">
        <v>0.0</v>
      </c>
      <c r="L149" s="4">
        <v>0.0</v>
      </c>
      <c r="M149" s="4">
        <v>108.0</v>
      </c>
      <c r="N149" s="4">
        <v>1332.0</v>
      </c>
      <c r="O149" s="4">
        <v>2383.0</v>
      </c>
    </row>
    <row r="150">
      <c r="A150" s="4">
        <v>1.927972279E9</v>
      </c>
      <c r="B150" s="5">
        <v>42497.0</v>
      </c>
      <c r="C150" s="4">
        <v>1510.0</v>
      </c>
      <c r="D150" s="4">
        <v>1.03999996185303</v>
      </c>
      <c r="E150" s="4">
        <v>1.03999996185303</v>
      </c>
      <c r="F150" s="4">
        <v>0.0</v>
      </c>
      <c r="G150" s="4">
        <v>0.0</v>
      </c>
      <c r="H150" s="4">
        <v>0.0</v>
      </c>
      <c r="I150" s="4">
        <v>1.03999996185303</v>
      </c>
      <c r="J150" s="4">
        <v>0.0</v>
      </c>
      <c r="K150" s="4">
        <v>0.0</v>
      </c>
      <c r="L150" s="4">
        <v>0.0</v>
      </c>
      <c r="M150" s="4">
        <v>48.0</v>
      </c>
      <c r="N150" s="4">
        <v>1392.0</v>
      </c>
      <c r="O150" s="4">
        <v>2229.0</v>
      </c>
    </row>
    <row r="151">
      <c r="A151" s="4">
        <v>1.927972279E9</v>
      </c>
      <c r="B151" s="5">
        <v>42498.0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1440.0</v>
      </c>
      <c r="O151" s="4">
        <v>2063.0</v>
      </c>
    </row>
    <row r="152">
      <c r="A152" s="4">
        <v>1.927972279E9</v>
      </c>
      <c r="B152" s="5">
        <v>42499.0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1440.0</v>
      </c>
      <c r="O152" s="4">
        <v>2063.0</v>
      </c>
    </row>
    <row r="153">
      <c r="A153" s="4">
        <v>1.927972279E9</v>
      </c>
      <c r="B153" s="5">
        <v>42500.0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1440.0</v>
      </c>
      <c r="O153" s="4">
        <v>2063.0</v>
      </c>
    </row>
    <row r="154">
      <c r="A154" s="4">
        <v>1.927972279E9</v>
      </c>
      <c r="B154" s="5">
        <v>42501.0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1440.0</v>
      </c>
      <c r="O154" s="4">
        <v>2063.0</v>
      </c>
    </row>
    <row r="155">
      <c r="A155" s="4">
        <v>1.927972279E9</v>
      </c>
      <c r="B155" s="5">
        <v>42502.0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966.0</v>
      </c>
      <c r="O155" s="4">
        <v>1383.0</v>
      </c>
    </row>
    <row r="156">
      <c r="A156" s="4">
        <v>2.022484408E9</v>
      </c>
      <c r="B156" s="5">
        <v>42472.0</v>
      </c>
      <c r="C156" s="4">
        <v>11875.0</v>
      </c>
      <c r="D156" s="4">
        <v>8.34000015258789</v>
      </c>
      <c r="E156" s="4">
        <v>8.34000015258789</v>
      </c>
      <c r="F156" s="4">
        <v>0.0</v>
      </c>
      <c r="G156" s="4">
        <v>3.30999994277954</v>
      </c>
      <c r="H156" s="4">
        <v>0.769999980926514</v>
      </c>
      <c r="I156" s="4">
        <v>4.26000022888184</v>
      </c>
      <c r="J156" s="4">
        <v>0.0</v>
      </c>
      <c r="K156" s="4">
        <v>42.0</v>
      </c>
      <c r="L156" s="4">
        <v>14.0</v>
      </c>
      <c r="M156" s="4">
        <v>227.0</v>
      </c>
      <c r="N156" s="4">
        <v>1157.0</v>
      </c>
      <c r="O156" s="4">
        <v>2390.0</v>
      </c>
    </row>
    <row r="157">
      <c r="A157" s="4">
        <v>2.022484408E9</v>
      </c>
      <c r="B157" s="5">
        <v>42473.0</v>
      </c>
      <c r="C157" s="4">
        <v>12024.0</v>
      </c>
      <c r="D157" s="4">
        <v>8.5</v>
      </c>
      <c r="E157" s="4">
        <v>8.5</v>
      </c>
      <c r="F157" s="4">
        <v>0.0</v>
      </c>
      <c r="G157" s="4">
        <v>2.99000000953674</v>
      </c>
      <c r="H157" s="4">
        <v>0.100000001490116</v>
      </c>
      <c r="I157" s="4">
        <v>5.40999984741211</v>
      </c>
      <c r="J157" s="4">
        <v>0.0</v>
      </c>
      <c r="K157" s="4">
        <v>43.0</v>
      </c>
      <c r="L157" s="4">
        <v>5.0</v>
      </c>
      <c r="M157" s="4">
        <v>292.0</v>
      </c>
      <c r="N157" s="4">
        <v>1100.0</v>
      </c>
      <c r="O157" s="4">
        <v>2601.0</v>
      </c>
    </row>
    <row r="158">
      <c r="A158" s="4">
        <v>2.022484408E9</v>
      </c>
      <c r="B158" s="5">
        <v>42474.0</v>
      </c>
      <c r="C158" s="4">
        <v>10690.0</v>
      </c>
      <c r="D158" s="4">
        <v>7.5</v>
      </c>
      <c r="E158" s="4">
        <v>7.5</v>
      </c>
      <c r="F158" s="4">
        <v>0.0</v>
      </c>
      <c r="G158" s="4">
        <v>2.48000001907349</v>
      </c>
      <c r="H158" s="4">
        <v>0.209999993443489</v>
      </c>
      <c r="I158" s="4">
        <v>4.82000017166138</v>
      </c>
      <c r="J158" s="4">
        <v>0.0</v>
      </c>
      <c r="K158" s="4">
        <v>32.0</v>
      </c>
      <c r="L158" s="4">
        <v>3.0</v>
      </c>
      <c r="M158" s="4">
        <v>257.0</v>
      </c>
      <c r="N158" s="4">
        <v>1148.0</v>
      </c>
      <c r="O158" s="4">
        <v>2312.0</v>
      </c>
    </row>
    <row r="159">
      <c r="A159" s="4">
        <v>2.022484408E9</v>
      </c>
      <c r="B159" s="5">
        <v>42475.0</v>
      </c>
      <c r="C159" s="4">
        <v>11034.0</v>
      </c>
      <c r="D159" s="4">
        <v>8.02999973297119</v>
      </c>
      <c r="E159" s="4">
        <v>8.02999973297119</v>
      </c>
      <c r="F159" s="4">
        <v>0.0</v>
      </c>
      <c r="G159" s="4">
        <v>1.94000005722046</v>
      </c>
      <c r="H159" s="4">
        <v>0.310000002384186</v>
      </c>
      <c r="I159" s="4">
        <v>5.78000020980835</v>
      </c>
      <c r="J159" s="4">
        <v>0.0</v>
      </c>
      <c r="K159" s="4">
        <v>27.0</v>
      </c>
      <c r="L159" s="4">
        <v>9.0</v>
      </c>
      <c r="M159" s="4">
        <v>282.0</v>
      </c>
      <c r="N159" s="4">
        <v>1122.0</v>
      </c>
      <c r="O159" s="4">
        <v>2525.0</v>
      </c>
    </row>
    <row r="160">
      <c r="A160" s="4">
        <v>2.022484408E9</v>
      </c>
      <c r="B160" s="5">
        <v>42476.0</v>
      </c>
      <c r="C160" s="4">
        <v>10100.0</v>
      </c>
      <c r="D160" s="4">
        <v>7.09000015258789</v>
      </c>
      <c r="E160" s="4">
        <v>7.09000015258789</v>
      </c>
      <c r="F160" s="4">
        <v>0.0</v>
      </c>
      <c r="G160" s="4">
        <v>3.15000009536743</v>
      </c>
      <c r="H160" s="4">
        <v>0.550000011920929</v>
      </c>
      <c r="I160" s="4">
        <v>3.39000010490417</v>
      </c>
      <c r="J160" s="4">
        <v>0.0</v>
      </c>
      <c r="K160" s="4">
        <v>41.0</v>
      </c>
      <c r="L160" s="4">
        <v>11.0</v>
      </c>
      <c r="M160" s="4">
        <v>151.0</v>
      </c>
      <c r="N160" s="4">
        <v>1237.0</v>
      </c>
      <c r="O160" s="4">
        <v>2177.0</v>
      </c>
    </row>
    <row r="161">
      <c r="A161" s="4">
        <v>2.022484408E9</v>
      </c>
      <c r="B161" s="5">
        <v>42477.0</v>
      </c>
      <c r="C161" s="4">
        <v>15112.0</v>
      </c>
      <c r="D161" s="4">
        <v>11.3999996185303</v>
      </c>
      <c r="E161" s="4">
        <v>11.3999996185303</v>
      </c>
      <c r="F161" s="4">
        <v>0.0</v>
      </c>
      <c r="G161" s="4">
        <v>3.86999988555908</v>
      </c>
      <c r="H161" s="4">
        <v>0.660000026226044</v>
      </c>
      <c r="I161" s="4">
        <v>6.88000011444092</v>
      </c>
      <c r="J161" s="4">
        <v>0.0</v>
      </c>
      <c r="K161" s="4">
        <v>28.0</v>
      </c>
      <c r="L161" s="4">
        <v>29.0</v>
      </c>
      <c r="M161" s="4">
        <v>331.0</v>
      </c>
      <c r="N161" s="4">
        <v>1052.0</v>
      </c>
      <c r="O161" s="4">
        <v>2782.0</v>
      </c>
    </row>
    <row r="162">
      <c r="A162" s="4">
        <v>2.022484408E9</v>
      </c>
      <c r="B162" s="5">
        <v>42478.0</v>
      </c>
      <c r="C162" s="4">
        <v>14131.0</v>
      </c>
      <c r="D162" s="4">
        <v>10.0699996948242</v>
      </c>
      <c r="E162" s="4">
        <v>10.0699996948242</v>
      </c>
      <c r="F162" s="4">
        <v>0.0</v>
      </c>
      <c r="G162" s="4">
        <v>3.64000010490417</v>
      </c>
      <c r="H162" s="4">
        <v>0.119999997317791</v>
      </c>
      <c r="I162" s="4">
        <v>6.30000019073486</v>
      </c>
      <c r="J162" s="4">
        <v>0.0</v>
      </c>
      <c r="K162" s="4">
        <v>48.0</v>
      </c>
      <c r="L162" s="4">
        <v>3.0</v>
      </c>
      <c r="M162" s="4">
        <v>311.0</v>
      </c>
      <c r="N162" s="4">
        <v>1078.0</v>
      </c>
      <c r="O162" s="4">
        <v>2770.0</v>
      </c>
    </row>
    <row r="163">
      <c r="A163" s="4">
        <v>2.022484408E9</v>
      </c>
      <c r="B163" s="5">
        <v>42479.0</v>
      </c>
      <c r="C163" s="4">
        <v>11548.0</v>
      </c>
      <c r="D163" s="4">
        <v>8.52999973297119</v>
      </c>
      <c r="E163" s="4">
        <v>8.52999973297119</v>
      </c>
      <c r="F163" s="4">
        <v>0.0</v>
      </c>
      <c r="G163" s="4">
        <v>3.28999996185303</v>
      </c>
      <c r="H163" s="4">
        <v>0.239999994635582</v>
      </c>
      <c r="I163" s="4">
        <v>5.0</v>
      </c>
      <c r="J163" s="4">
        <v>0.0</v>
      </c>
      <c r="K163" s="4">
        <v>31.0</v>
      </c>
      <c r="L163" s="4">
        <v>7.0</v>
      </c>
      <c r="M163" s="4">
        <v>250.0</v>
      </c>
      <c r="N163" s="4">
        <v>1152.0</v>
      </c>
      <c r="O163" s="4">
        <v>2489.0</v>
      </c>
    </row>
    <row r="164">
      <c r="A164" s="4">
        <v>2.022484408E9</v>
      </c>
      <c r="B164" s="5">
        <v>42480.0</v>
      </c>
      <c r="C164" s="4">
        <v>15112.0</v>
      </c>
      <c r="D164" s="4">
        <v>10.6700000762939</v>
      </c>
      <c r="E164" s="4">
        <v>10.6700000762939</v>
      </c>
      <c r="F164" s="4">
        <v>0.0</v>
      </c>
      <c r="G164" s="4">
        <v>3.33999991416931</v>
      </c>
      <c r="H164" s="4">
        <v>1.92999994754791</v>
      </c>
      <c r="I164" s="4">
        <v>5.40000009536743</v>
      </c>
      <c r="J164" s="4">
        <v>0.0</v>
      </c>
      <c r="K164" s="4">
        <v>48.0</v>
      </c>
      <c r="L164" s="4">
        <v>63.0</v>
      </c>
      <c r="M164" s="4">
        <v>276.0</v>
      </c>
      <c r="N164" s="4">
        <v>1053.0</v>
      </c>
      <c r="O164" s="4">
        <v>2897.0</v>
      </c>
    </row>
    <row r="165">
      <c r="A165" s="4">
        <v>2.022484408E9</v>
      </c>
      <c r="B165" s="5">
        <v>42481.0</v>
      </c>
      <c r="C165" s="4">
        <v>12453.0</v>
      </c>
      <c r="D165" s="4">
        <v>8.73999977111816</v>
      </c>
      <c r="E165" s="4">
        <v>8.73999977111816</v>
      </c>
      <c r="F165" s="4">
        <v>0.0</v>
      </c>
      <c r="G165" s="4">
        <v>3.32999992370605</v>
      </c>
      <c r="H165" s="4">
        <v>1.11000001430511</v>
      </c>
      <c r="I165" s="4">
        <v>4.30999994277954</v>
      </c>
      <c r="J165" s="4">
        <v>0.0</v>
      </c>
      <c r="K165" s="4">
        <v>104.0</v>
      </c>
      <c r="L165" s="4">
        <v>53.0</v>
      </c>
      <c r="M165" s="4">
        <v>255.0</v>
      </c>
      <c r="N165" s="4">
        <v>1028.0</v>
      </c>
      <c r="O165" s="4">
        <v>3158.0</v>
      </c>
    </row>
    <row r="166">
      <c r="A166" s="4">
        <v>2.022484408E9</v>
      </c>
      <c r="B166" s="5">
        <v>42482.0</v>
      </c>
      <c r="C166" s="4">
        <v>12954.0</v>
      </c>
      <c r="D166" s="4">
        <v>9.32999992370605</v>
      </c>
      <c r="E166" s="4">
        <v>9.32999992370605</v>
      </c>
      <c r="F166" s="4">
        <v>0.0</v>
      </c>
      <c r="G166" s="4">
        <v>4.42999982833862</v>
      </c>
      <c r="H166" s="4">
        <v>0.419999986886978</v>
      </c>
      <c r="I166" s="4">
        <v>4.46999979019165</v>
      </c>
      <c r="J166" s="4">
        <v>0.0</v>
      </c>
      <c r="K166" s="4">
        <v>52.0</v>
      </c>
      <c r="L166" s="4">
        <v>10.0</v>
      </c>
      <c r="M166" s="4">
        <v>273.0</v>
      </c>
      <c r="N166" s="4">
        <v>1105.0</v>
      </c>
      <c r="O166" s="4">
        <v>2638.0</v>
      </c>
    </row>
    <row r="167">
      <c r="A167" s="4">
        <v>2.022484408E9</v>
      </c>
      <c r="B167" s="5">
        <v>42483.0</v>
      </c>
      <c r="C167" s="4">
        <v>6001.0</v>
      </c>
      <c r="D167" s="4">
        <v>4.21000003814697</v>
      </c>
      <c r="E167" s="4">
        <v>4.21000003814697</v>
      </c>
      <c r="F167" s="4">
        <v>0.0</v>
      </c>
      <c r="G167" s="4">
        <v>0.0</v>
      </c>
      <c r="H167" s="4">
        <v>0.0</v>
      </c>
      <c r="I167" s="4">
        <v>4.21000003814697</v>
      </c>
      <c r="J167" s="4">
        <v>0.0</v>
      </c>
      <c r="K167" s="4">
        <v>0.0</v>
      </c>
      <c r="L167" s="4">
        <v>0.0</v>
      </c>
      <c r="M167" s="4">
        <v>249.0</v>
      </c>
      <c r="N167" s="4">
        <v>1191.0</v>
      </c>
      <c r="O167" s="4">
        <v>2069.0</v>
      </c>
    </row>
    <row r="168">
      <c r="A168" s="4">
        <v>2.022484408E9</v>
      </c>
      <c r="B168" s="5">
        <v>42484.0</v>
      </c>
      <c r="C168" s="4">
        <v>13481.0</v>
      </c>
      <c r="D168" s="4">
        <v>10.2799997329712</v>
      </c>
      <c r="E168" s="4">
        <v>10.2799997329712</v>
      </c>
      <c r="F168" s="4">
        <v>0.0</v>
      </c>
      <c r="G168" s="4">
        <v>4.55000019073486</v>
      </c>
      <c r="H168" s="4">
        <v>1.14999997615814</v>
      </c>
      <c r="I168" s="4">
        <v>4.57999992370605</v>
      </c>
      <c r="J168" s="4">
        <v>0.0</v>
      </c>
      <c r="K168" s="4">
        <v>37.0</v>
      </c>
      <c r="L168" s="4">
        <v>26.0</v>
      </c>
      <c r="M168" s="4">
        <v>216.0</v>
      </c>
      <c r="N168" s="4">
        <v>1161.0</v>
      </c>
      <c r="O168" s="4">
        <v>2529.0</v>
      </c>
    </row>
    <row r="169">
      <c r="A169" s="4">
        <v>2.022484408E9</v>
      </c>
      <c r="B169" s="5">
        <v>42485.0</v>
      </c>
      <c r="C169" s="4">
        <v>11369.0</v>
      </c>
      <c r="D169" s="4">
        <v>8.01000022888184</v>
      </c>
      <c r="E169" s="4">
        <v>8.01000022888184</v>
      </c>
      <c r="F169" s="4">
        <v>0.0</v>
      </c>
      <c r="G169" s="4">
        <v>3.32999992370605</v>
      </c>
      <c r="H169" s="4">
        <v>0.219999998807907</v>
      </c>
      <c r="I169" s="4">
        <v>4.46000003814697</v>
      </c>
      <c r="J169" s="4">
        <v>0.0</v>
      </c>
      <c r="K169" s="4">
        <v>44.0</v>
      </c>
      <c r="L169" s="4">
        <v>8.0</v>
      </c>
      <c r="M169" s="4">
        <v>217.0</v>
      </c>
      <c r="N169" s="4">
        <v>1171.0</v>
      </c>
      <c r="O169" s="4">
        <v>2470.0</v>
      </c>
    </row>
    <row r="170">
      <c r="A170" s="4">
        <v>2.022484408E9</v>
      </c>
      <c r="B170" s="5">
        <v>42486.0</v>
      </c>
      <c r="C170" s="4">
        <v>10119.0</v>
      </c>
      <c r="D170" s="4">
        <v>7.19000005722046</v>
      </c>
      <c r="E170" s="4">
        <v>7.19000005722046</v>
      </c>
      <c r="F170" s="4">
        <v>0.0</v>
      </c>
      <c r="G170" s="4">
        <v>1.42999994754791</v>
      </c>
      <c r="H170" s="4">
        <v>0.660000026226044</v>
      </c>
      <c r="I170" s="4">
        <v>5.1100001335144</v>
      </c>
      <c r="J170" s="4">
        <v>0.0</v>
      </c>
      <c r="K170" s="4">
        <v>55.0</v>
      </c>
      <c r="L170" s="4">
        <v>24.0</v>
      </c>
      <c r="M170" s="4">
        <v>275.0</v>
      </c>
      <c r="N170" s="4">
        <v>1086.0</v>
      </c>
      <c r="O170" s="4">
        <v>2793.0</v>
      </c>
    </row>
    <row r="171">
      <c r="A171" s="4">
        <v>2.022484408E9</v>
      </c>
      <c r="B171" s="5">
        <v>42487.0</v>
      </c>
      <c r="C171" s="4">
        <v>10159.0</v>
      </c>
      <c r="D171" s="4">
        <v>7.13000011444092</v>
      </c>
      <c r="E171" s="4">
        <v>7.13000011444092</v>
      </c>
      <c r="F171" s="4">
        <v>0.0</v>
      </c>
      <c r="G171" s="4">
        <v>1.03999996185303</v>
      </c>
      <c r="H171" s="4">
        <v>0.970000028610229</v>
      </c>
      <c r="I171" s="4">
        <v>5.11999988555908</v>
      </c>
      <c r="J171" s="4">
        <v>0.0</v>
      </c>
      <c r="K171" s="4">
        <v>19.0</v>
      </c>
      <c r="L171" s="4">
        <v>20.0</v>
      </c>
      <c r="M171" s="4">
        <v>282.0</v>
      </c>
      <c r="N171" s="4">
        <v>1119.0</v>
      </c>
      <c r="O171" s="4">
        <v>2463.0</v>
      </c>
    </row>
    <row r="172">
      <c r="A172" s="4">
        <v>2.022484408E9</v>
      </c>
      <c r="B172" s="5">
        <v>42488.0</v>
      </c>
      <c r="C172" s="4">
        <v>10140.0</v>
      </c>
      <c r="D172" s="4">
        <v>7.11999988555908</v>
      </c>
      <c r="E172" s="4">
        <v>7.11999988555908</v>
      </c>
      <c r="F172" s="4">
        <v>0.0</v>
      </c>
      <c r="G172" s="4">
        <v>0.409999996423721</v>
      </c>
      <c r="H172" s="4">
        <v>1.33000004291534</v>
      </c>
      <c r="I172" s="4">
        <v>5.3899998664856</v>
      </c>
      <c r="J172" s="4">
        <v>0.0</v>
      </c>
      <c r="K172" s="4">
        <v>6.0</v>
      </c>
      <c r="L172" s="4">
        <v>20.0</v>
      </c>
      <c r="M172" s="4">
        <v>291.0</v>
      </c>
      <c r="N172" s="4">
        <v>1123.0</v>
      </c>
      <c r="O172" s="4">
        <v>2296.0</v>
      </c>
    </row>
    <row r="173">
      <c r="A173" s="4">
        <v>2.022484408E9</v>
      </c>
      <c r="B173" s="5">
        <v>42489.0</v>
      </c>
      <c r="C173" s="4">
        <v>10245.0</v>
      </c>
      <c r="D173" s="4">
        <v>7.19000005722046</v>
      </c>
      <c r="E173" s="4">
        <v>7.19000005722046</v>
      </c>
      <c r="F173" s="4">
        <v>0.0</v>
      </c>
      <c r="G173" s="4">
        <v>0.479999989271164</v>
      </c>
      <c r="H173" s="4">
        <v>1.21000003814697</v>
      </c>
      <c r="I173" s="4">
        <v>5.5</v>
      </c>
      <c r="J173" s="4">
        <v>0.0</v>
      </c>
      <c r="K173" s="4">
        <v>21.0</v>
      </c>
      <c r="L173" s="4">
        <v>40.0</v>
      </c>
      <c r="M173" s="4">
        <v>281.0</v>
      </c>
      <c r="N173" s="4">
        <v>1098.0</v>
      </c>
      <c r="O173" s="4">
        <v>2611.0</v>
      </c>
    </row>
    <row r="174">
      <c r="A174" s="4">
        <v>2.022484408E9</v>
      </c>
      <c r="B174" s="5">
        <v>42490.0</v>
      </c>
      <c r="C174" s="4">
        <v>18387.0</v>
      </c>
      <c r="D174" s="4">
        <v>12.9099998474121</v>
      </c>
      <c r="E174" s="4">
        <v>12.9099998474121</v>
      </c>
      <c r="F174" s="4">
        <v>0.0</v>
      </c>
      <c r="G174" s="4">
        <v>0.939999997615814</v>
      </c>
      <c r="H174" s="4">
        <v>1.39999997615814</v>
      </c>
      <c r="I174" s="4">
        <v>10.5699996948242</v>
      </c>
      <c r="J174" s="4">
        <v>0.0</v>
      </c>
      <c r="K174" s="4">
        <v>13.0</v>
      </c>
      <c r="L174" s="4">
        <v>23.0</v>
      </c>
      <c r="M174" s="4">
        <v>361.0</v>
      </c>
      <c r="N174" s="4">
        <v>1043.0</v>
      </c>
      <c r="O174" s="4">
        <v>2732.0</v>
      </c>
    </row>
    <row r="175">
      <c r="A175" s="4">
        <v>2.022484408E9</v>
      </c>
      <c r="B175" s="5">
        <v>42491.0</v>
      </c>
      <c r="C175" s="4">
        <v>10538.0</v>
      </c>
      <c r="D175" s="4">
        <v>7.40000009536743</v>
      </c>
      <c r="E175" s="4">
        <v>7.40000009536743</v>
      </c>
      <c r="F175" s="4">
        <v>0.0</v>
      </c>
      <c r="G175" s="4">
        <v>1.94000005722046</v>
      </c>
      <c r="H175" s="4">
        <v>0.959999978542328</v>
      </c>
      <c r="I175" s="4">
        <v>4.5</v>
      </c>
      <c r="J175" s="4">
        <v>0.0</v>
      </c>
      <c r="K175" s="4">
        <v>25.0</v>
      </c>
      <c r="L175" s="4">
        <v>28.0</v>
      </c>
      <c r="M175" s="4">
        <v>245.0</v>
      </c>
      <c r="N175" s="4">
        <v>1142.0</v>
      </c>
      <c r="O175" s="4">
        <v>2380.0</v>
      </c>
    </row>
    <row r="176">
      <c r="A176" s="4">
        <v>2.022484408E9</v>
      </c>
      <c r="B176" s="5">
        <v>42492.0</v>
      </c>
      <c r="C176" s="4">
        <v>10379.0</v>
      </c>
      <c r="D176" s="4">
        <v>7.28999996185303</v>
      </c>
      <c r="E176" s="4">
        <v>7.28999996185303</v>
      </c>
      <c r="F176" s="4">
        <v>0.0</v>
      </c>
      <c r="G176" s="4">
        <v>2.60999989509583</v>
      </c>
      <c r="H176" s="4">
        <v>0.340000003576279</v>
      </c>
      <c r="I176" s="4">
        <v>4.32999992370605</v>
      </c>
      <c r="J176" s="4">
        <v>0.0</v>
      </c>
      <c r="K176" s="4">
        <v>36.0</v>
      </c>
      <c r="L176" s="4">
        <v>8.0</v>
      </c>
      <c r="M176" s="4">
        <v>277.0</v>
      </c>
      <c r="N176" s="4">
        <v>1119.0</v>
      </c>
      <c r="O176" s="4">
        <v>2473.0</v>
      </c>
    </row>
    <row r="177">
      <c r="A177" s="4">
        <v>2.022484408E9</v>
      </c>
      <c r="B177" s="5">
        <v>42493.0</v>
      </c>
      <c r="C177" s="4">
        <v>12183.0</v>
      </c>
      <c r="D177" s="4">
        <v>8.73999977111816</v>
      </c>
      <c r="E177" s="4">
        <v>8.73999977111816</v>
      </c>
      <c r="F177" s="4">
        <v>0.0</v>
      </c>
      <c r="G177" s="4">
        <v>3.99000000953674</v>
      </c>
      <c r="H177" s="4">
        <v>0.46000000834465</v>
      </c>
      <c r="I177" s="4">
        <v>4.28000020980835</v>
      </c>
      <c r="J177" s="4">
        <v>0.0</v>
      </c>
      <c r="K177" s="4">
        <v>72.0</v>
      </c>
      <c r="L177" s="4">
        <v>14.0</v>
      </c>
      <c r="M177" s="4">
        <v>250.0</v>
      </c>
      <c r="N177" s="4">
        <v>1104.0</v>
      </c>
      <c r="O177" s="4">
        <v>2752.0</v>
      </c>
    </row>
    <row r="178">
      <c r="A178" s="4">
        <v>2.022484408E9</v>
      </c>
      <c r="B178" s="5">
        <v>42494.0</v>
      </c>
      <c r="C178" s="4">
        <v>11768.0</v>
      </c>
      <c r="D178" s="4">
        <v>8.28999996185303</v>
      </c>
      <c r="E178" s="4">
        <v>8.28999996185303</v>
      </c>
      <c r="F178" s="4">
        <v>0.0</v>
      </c>
      <c r="G178" s="4">
        <v>2.50999999046326</v>
      </c>
      <c r="H178" s="4">
        <v>0.930000007152557</v>
      </c>
      <c r="I178" s="4">
        <v>4.84999990463257</v>
      </c>
      <c r="J178" s="4">
        <v>0.0</v>
      </c>
      <c r="K178" s="4">
        <v>36.0</v>
      </c>
      <c r="L178" s="4">
        <v>27.0</v>
      </c>
      <c r="M178" s="4">
        <v>272.0</v>
      </c>
      <c r="N178" s="4">
        <v>1105.0</v>
      </c>
      <c r="O178" s="4">
        <v>2649.0</v>
      </c>
    </row>
    <row r="179">
      <c r="A179" s="4">
        <v>2.022484408E9</v>
      </c>
      <c r="B179" s="5">
        <v>42495.0</v>
      </c>
      <c r="C179" s="4">
        <v>11895.0</v>
      </c>
      <c r="D179" s="4">
        <v>8.35000038146973</v>
      </c>
      <c r="E179" s="4">
        <v>8.35000038146973</v>
      </c>
      <c r="F179" s="4">
        <v>0.0</v>
      </c>
      <c r="G179" s="4">
        <v>2.78999996185303</v>
      </c>
      <c r="H179" s="4">
        <v>0.860000014305115</v>
      </c>
      <c r="I179" s="4">
        <v>4.69999980926514</v>
      </c>
      <c r="J179" s="4">
        <v>0.0</v>
      </c>
      <c r="K179" s="4">
        <v>55.0</v>
      </c>
      <c r="L179" s="4">
        <v>20.0</v>
      </c>
      <c r="M179" s="4">
        <v>253.0</v>
      </c>
      <c r="N179" s="4">
        <v>1112.0</v>
      </c>
      <c r="O179" s="4">
        <v>2609.0</v>
      </c>
    </row>
    <row r="180">
      <c r="A180" s="4">
        <v>2.022484408E9</v>
      </c>
      <c r="B180" s="5">
        <v>42496.0</v>
      </c>
      <c r="C180" s="4">
        <v>10227.0</v>
      </c>
      <c r="D180" s="4">
        <v>7.17999982833862</v>
      </c>
      <c r="E180" s="4">
        <v>7.17999982833862</v>
      </c>
      <c r="F180" s="4">
        <v>0.0</v>
      </c>
      <c r="G180" s="4">
        <v>1.87000000476837</v>
      </c>
      <c r="H180" s="4">
        <v>0.670000016689301</v>
      </c>
      <c r="I180" s="4">
        <v>4.6399998664856</v>
      </c>
      <c r="J180" s="4">
        <v>0.0</v>
      </c>
      <c r="K180" s="4">
        <v>24.0</v>
      </c>
      <c r="L180" s="4">
        <v>17.0</v>
      </c>
      <c r="M180" s="4">
        <v>295.0</v>
      </c>
      <c r="N180" s="4">
        <v>1104.0</v>
      </c>
      <c r="O180" s="4">
        <v>2498.0</v>
      </c>
    </row>
    <row r="181">
      <c r="A181" s="4">
        <v>2.022484408E9</v>
      </c>
      <c r="B181" s="5">
        <v>42497.0</v>
      </c>
      <c r="C181" s="4">
        <v>6708.0</v>
      </c>
      <c r="D181" s="4">
        <v>4.71000003814697</v>
      </c>
      <c r="E181" s="4">
        <v>4.71000003814697</v>
      </c>
      <c r="F181" s="4">
        <v>0.0</v>
      </c>
      <c r="G181" s="4">
        <v>1.61000001430511</v>
      </c>
      <c r="H181" s="4">
        <v>0.0799999982118607</v>
      </c>
      <c r="I181" s="4">
        <v>3.01999998092651</v>
      </c>
      <c r="J181" s="4">
        <v>0.0</v>
      </c>
      <c r="K181" s="4">
        <v>20.0</v>
      </c>
      <c r="L181" s="4">
        <v>2.0</v>
      </c>
      <c r="M181" s="4">
        <v>149.0</v>
      </c>
      <c r="N181" s="4">
        <v>1269.0</v>
      </c>
      <c r="O181" s="4">
        <v>1995.0</v>
      </c>
    </row>
    <row r="182">
      <c r="A182" s="4">
        <v>2.022484408E9</v>
      </c>
      <c r="B182" s="5">
        <v>42498.0</v>
      </c>
      <c r="C182" s="4">
        <v>3292.0</v>
      </c>
      <c r="D182" s="4">
        <v>2.30999994277954</v>
      </c>
      <c r="E182" s="4">
        <v>2.30999994277954</v>
      </c>
      <c r="F182" s="4">
        <v>0.0</v>
      </c>
      <c r="G182" s="4">
        <v>0.0</v>
      </c>
      <c r="H182" s="4">
        <v>0.0</v>
      </c>
      <c r="I182" s="4">
        <v>2.30999994277954</v>
      </c>
      <c r="J182" s="4">
        <v>0.0</v>
      </c>
      <c r="K182" s="4">
        <v>0.0</v>
      </c>
      <c r="L182" s="4">
        <v>0.0</v>
      </c>
      <c r="M182" s="4">
        <v>135.0</v>
      </c>
      <c r="N182" s="4">
        <v>1305.0</v>
      </c>
      <c r="O182" s="4">
        <v>1848.0</v>
      </c>
    </row>
    <row r="183">
      <c r="A183" s="4">
        <v>2.022484408E9</v>
      </c>
      <c r="B183" s="5">
        <v>42499.0</v>
      </c>
      <c r="C183" s="4">
        <v>13379.0</v>
      </c>
      <c r="D183" s="4">
        <v>9.39000034332275</v>
      </c>
      <c r="E183" s="4">
        <v>9.39000034332275</v>
      </c>
      <c r="F183" s="4">
        <v>0.0</v>
      </c>
      <c r="G183" s="4">
        <v>2.11999988555908</v>
      </c>
      <c r="H183" s="4">
        <v>1.62999999523163</v>
      </c>
      <c r="I183" s="4">
        <v>5.6399998664856</v>
      </c>
      <c r="J183" s="4">
        <v>0.0</v>
      </c>
      <c r="K183" s="4">
        <v>35.0</v>
      </c>
      <c r="L183" s="4">
        <v>47.0</v>
      </c>
      <c r="M183" s="4">
        <v>297.0</v>
      </c>
      <c r="N183" s="4">
        <v>1061.0</v>
      </c>
      <c r="O183" s="4">
        <v>2709.0</v>
      </c>
    </row>
    <row r="184">
      <c r="A184" s="4">
        <v>2.022484408E9</v>
      </c>
      <c r="B184" s="5">
        <v>42500.0</v>
      </c>
      <c r="C184" s="4">
        <v>12798.0</v>
      </c>
      <c r="D184" s="4">
        <v>8.97999954223633</v>
      </c>
      <c r="E184" s="4">
        <v>8.97999954223633</v>
      </c>
      <c r="F184" s="4">
        <v>0.0</v>
      </c>
      <c r="G184" s="4">
        <v>2.22000002861023</v>
      </c>
      <c r="H184" s="4">
        <v>1.21000003814697</v>
      </c>
      <c r="I184" s="4">
        <v>5.55999994277954</v>
      </c>
      <c r="J184" s="4">
        <v>0.0</v>
      </c>
      <c r="K184" s="4">
        <v>57.0</v>
      </c>
      <c r="L184" s="4">
        <v>28.0</v>
      </c>
      <c r="M184" s="4">
        <v>271.0</v>
      </c>
      <c r="N184" s="4">
        <v>1084.0</v>
      </c>
      <c r="O184" s="4">
        <v>2797.0</v>
      </c>
    </row>
    <row r="185">
      <c r="A185" s="4">
        <v>2.022484408E9</v>
      </c>
      <c r="B185" s="5">
        <v>42501.0</v>
      </c>
      <c r="C185" s="4">
        <v>13272.0</v>
      </c>
      <c r="D185" s="4">
        <v>9.31999969482422</v>
      </c>
      <c r="E185" s="4">
        <v>9.31999969482422</v>
      </c>
      <c r="F185" s="4">
        <v>0.0</v>
      </c>
      <c r="G185" s="4">
        <v>4.17999982833862</v>
      </c>
      <c r="H185" s="4">
        <v>1.14999997615814</v>
      </c>
      <c r="I185" s="4">
        <v>3.99000000953674</v>
      </c>
      <c r="J185" s="4">
        <v>0.0</v>
      </c>
      <c r="K185" s="4">
        <v>58.0</v>
      </c>
      <c r="L185" s="4">
        <v>25.0</v>
      </c>
      <c r="M185" s="4">
        <v>224.0</v>
      </c>
      <c r="N185" s="4">
        <v>1133.0</v>
      </c>
      <c r="O185" s="4">
        <v>2544.0</v>
      </c>
    </row>
    <row r="186">
      <c r="A186" s="4">
        <v>2.022484408E9</v>
      </c>
      <c r="B186" s="5">
        <v>42502.0</v>
      </c>
      <c r="C186" s="4">
        <v>9117.0</v>
      </c>
      <c r="D186" s="4">
        <v>6.40999984741211</v>
      </c>
      <c r="E186" s="4">
        <v>6.40999984741211</v>
      </c>
      <c r="F186" s="4">
        <v>0.0</v>
      </c>
      <c r="G186" s="4">
        <v>1.27999997138977</v>
      </c>
      <c r="H186" s="4">
        <v>0.670000016689301</v>
      </c>
      <c r="I186" s="4">
        <v>4.44000005722046</v>
      </c>
      <c r="J186" s="4">
        <v>0.0</v>
      </c>
      <c r="K186" s="4">
        <v>16.0</v>
      </c>
      <c r="L186" s="4">
        <v>16.0</v>
      </c>
      <c r="M186" s="4">
        <v>236.0</v>
      </c>
      <c r="N186" s="4">
        <v>728.0</v>
      </c>
      <c r="O186" s="4">
        <v>1853.0</v>
      </c>
    </row>
    <row r="187">
      <c r="A187" s="4">
        <v>2.026352035E9</v>
      </c>
      <c r="B187" s="5">
        <v>42472.0</v>
      </c>
      <c r="C187" s="4">
        <v>4414.0</v>
      </c>
      <c r="D187" s="4">
        <v>2.74000000953674</v>
      </c>
      <c r="E187" s="4">
        <v>2.74000000953674</v>
      </c>
      <c r="F187" s="4">
        <v>0.0</v>
      </c>
      <c r="G187" s="4">
        <v>0.189999997615814</v>
      </c>
      <c r="H187" s="4">
        <v>0.349999994039536</v>
      </c>
      <c r="I187" s="4">
        <v>2.20000004768372</v>
      </c>
      <c r="J187" s="4">
        <v>0.0</v>
      </c>
      <c r="K187" s="4">
        <v>3.0</v>
      </c>
      <c r="L187" s="4">
        <v>8.0</v>
      </c>
      <c r="M187" s="4">
        <v>181.0</v>
      </c>
      <c r="N187" s="4">
        <v>706.0</v>
      </c>
      <c r="O187" s="4">
        <v>1459.0</v>
      </c>
    </row>
    <row r="188">
      <c r="A188" s="4">
        <v>2.026352035E9</v>
      </c>
      <c r="B188" s="5">
        <v>42473.0</v>
      </c>
      <c r="C188" s="4">
        <v>4993.0</v>
      </c>
      <c r="D188" s="4">
        <v>3.09999990463257</v>
      </c>
      <c r="E188" s="4">
        <v>3.09999990463257</v>
      </c>
      <c r="F188" s="4">
        <v>0.0</v>
      </c>
      <c r="G188" s="4">
        <v>0.0</v>
      </c>
      <c r="H188" s="4">
        <v>0.0</v>
      </c>
      <c r="I188" s="4">
        <v>3.09999990463257</v>
      </c>
      <c r="J188" s="4">
        <v>0.0</v>
      </c>
      <c r="K188" s="4">
        <v>0.0</v>
      </c>
      <c r="L188" s="4">
        <v>0.0</v>
      </c>
      <c r="M188" s="4">
        <v>238.0</v>
      </c>
      <c r="N188" s="4">
        <v>663.0</v>
      </c>
      <c r="O188" s="4">
        <v>1521.0</v>
      </c>
    </row>
    <row r="189">
      <c r="A189" s="4">
        <v>2.026352035E9</v>
      </c>
      <c r="B189" s="5">
        <v>42474.0</v>
      </c>
      <c r="C189" s="4">
        <v>3335.0</v>
      </c>
      <c r="D189" s="4">
        <v>2.0699999332428</v>
      </c>
      <c r="E189" s="4">
        <v>2.0699999332428</v>
      </c>
      <c r="F189" s="4">
        <v>0.0</v>
      </c>
      <c r="G189" s="4">
        <v>0.0</v>
      </c>
      <c r="H189" s="4">
        <v>0.0</v>
      </c>
      <c r="I189" s="4">
        <v>2.04999995231628</v>
      </c>
      <c r="J189" s="4">
        <v>0.0</v>
      </c>
      <c r="K189" s="4">
        <v>0.0</v>
      </c>
      <c r="L189" s="4">
        <v>0.0</v>
      </c>
      <c r="M189" s="4">
        <v>197.0</v>
      </c>
      <c r="N189" s="4">
        <v>653.0</v>
      </c>
      <c r="O189" s="4">
        <v>1431.0</v>
      </c>
    </row>
    <row r="190">
      <c r="A190" s="4">
        <v>2.026352035E9</v>
      </c>
      <c r="B190" s="5">
        <v>42475.0</v>
      </c>
      <c r="C190" s="4">
        <v>3821.0</v>
      </c>
      <c r="D190" s="4">
        <v>2.36999988555908</v>
      </c>
      <c r="E190" s="4">
        <v>2.36999988555908</v>
      </c>
      <c r="F190" s="4">
        <v>0.0</v>
      </c>
      <c r="G190" s="4">
        <v>0.0</v>
      </c>
      <c r="H190" s="4">
        <v>0.0</v>
      </c>
      <c r="I190" s="4">
        <v>2.36999988555908</v>
      </c>
      <c r="J190" s="4">
        <v>0.0</v>
      </c>
      <c r="K190" s="4">
        <v>0.0</v>
      </c>
      <c r="L190" s="4">
        <v>0.0</v>
      </c>
      <c r="M190" s="4">
        <v>188.0</v>
      </c>
      <c r="N190" s="4">
        <v>687.0</v>
      </c>
      <c r="O190" s="4">
        <v>1444.0</v>
      </c>
    </row>
    <row r="191">
      <c r="A191" s="4">
        <v>2.026352035E9</v>
      </c>
      <c r="B191" s="5">
        <v>42476.0</v>
      </c>
      <c r="C191" s="4">
        <v>2547.0</v>
      </c>
      <c r="D191" s="4">
        <v>1.58000004291534</v>
      </c>
      <c r="E191" s="4">
        <v>1.58000004291534</v>
      </c>
      <c r="F191" s="4">
        <v>0.0</v>
      </c>
      <c r="G191" s="4">
        <v>0.0</v>
      </c>
      <c r="H191" s="4">
        <v>0.0</v>
      </c>
      <c r="I191" s="4">
        <v>1.58000004291534</v>
      </c>
      <c r="J191" s="4">
        <v>0.0</v>
      </c>
      <c r="K191" s="4">
        <v>0.0</v>
      </c>
      <c r="L191" s="4">
        <v>0.0</v>
      </c>
      <c r="M191" s="4">
        <v>150.0</v>
      </c>
      <c r="N191" s="4">
        <v>728.0</v>
      </c>
      <c r="O191" s="4">
        <v>1373.0</v>
      </c>
    </row>
    <row r="192">
      <c r="A192" s="4">
        <v>2.026352035E9</v>
      </c>
      <c r="B192" s="5">
        <v>42477.0</v>
      </c>
      <c r="C192" s="4">
        <v>838.0</v>
      </c>
      <c r="D192" s="4">
        <v>0.519999980926514</v>
      </c>
      <c r="E192" s="4">
        <v>0.519999980926514</v>
      </c>
      <c r="F192" s="4">
        <v>0.0</v>
      </c>
      <c r="G192" s="4">
        <v>0.0</v>
      </c>
      <c r="H192" s="4">
        <v>0.0</v>
      </c>
      <c r="I192" s="4">
        <v>0.519999980926514</v>
      </c>
      <c r="J192" s="4">
        <v>0.0</v>
      </c>
      <c r="K192" s="4">
        <v>0.0</v>
      </c>
      <c r="L192" s="4">
        <v>0.0</v>
      </c>
      <c r="M192" s="4">
        <v>60.0</v>
      </c>
      <c r="N192" s="4">
        <v>1053.0</v>
      </c>
      <c r="O192" s="4">
        <v>1214.0</v>
      </c>
    </row>
    <row r="193">
      <c r="A193" s="4">
        <v>2.026352035E9</v>
      </c>
      <c r="B193" s="5">
        <v>42478.0</v>
      </c>
      <c r="C193" s="4">
        <v>3325.0</v>
      </c>
      <c r="D193" s="4">
        <v>2.05999994277954</v>
      </c>
      <c r="E193" s="4">
        <v>2.05999994277954</v>
      </c>
      <c r="F193" s="4">
        <v>0.0</v>
      </c>
      <c r="G193" s="4">
        <v>0.0</v>
      </c>
      <c r="H193" s="4">
        <v>0.0</v>
      </c>
      <c r="I193" s="4">
        <v>2.05999994277954</v>
      </c>
      <c r="J193" s="4">
        <v>0.0</v>
      </c>
      <c r="K193" s="4">
        <v>0.0</v>
      </c>
      <c r="L193" s="4">
        <v>0.0</v>
      </c>
      <c r="M193" s="4">
        <v>182.0</v>
      </c>
      <c r="N193" s="4">
        <v>1062.0</v>
      </c>
      <c r="O193" s="4">
        <v>1419.0</v>
      </c>
    </row>
    <row r="194">
      <c r="A194" s="4">
        <v>2.026352035E9</v>
      </c>
      <c r="B194" s="5">
        <v>42479.0</v>
      </c>
      <c r="C194" s="4">
        <v>2424.0</v>
      </c>
      <c r="D194" s="4">
        <v>1.5</v>
      </c>
      <c r="E194" s="4">
        <v>1.5</v>
      </c>
      <c r="F194" s="4">
        <v>0.0</v>
      </c>
      <c r="G194" s="4">
        <v>0.0</v>
      </c>
      <c r="H194" s="4">
        <v>0.0</v>
      </c>
      <c r="I194" s="4">
        <v>1.5</v>
      </c>
      <c r="J194" s="4">
        <v>0.0</v>
      </c>
      <c r="K194" s="4">
        <v>0.0</v>
      </c>
      <c r="L194" s="4">
        <v>0.0</v>
      </c>
      <c r="M194" s="4">
        <v>141.0</v>
      </c>
      <c r="N194" s="4">
        <v>785.0</v>
      </c>
      <c r="O194" s="4">
        <v>1356.0</v>
      </c>
    </row>
    <row r="195">
      <c r="A195" s="4">
        <v>2.026352035E9</v>
      </c>
      <c r="B195" s="5">
        <v>42480.0</v>
      </c>
      <c r="C195" s="4">
        <v>7222.0</v>
      </c>
      <c r="D195" s="4">
        <v>4.48000001907349</v>
      </c>
      <c r="E195" s="4">
        <v>4.48000001907349</v>
      </c>
      <c r="F195" s="4">
        <v>0.0</v>
      </c>
      <c r="G195" s="4">
        <v>0.0</v>
      </c>
      <c r="H195" s="4">
        <v>0.0</v>
      </c>
      <c r="I195" s="4">
        <v>4.48000001907349</v>
      </c>
      <c r="J195" s="4">
        <v>0.0</v>
      </c>
      <c r="K195" s="4">
        <v>0.0</v>
      </c>
      <c r="L195" s="4">
        <v>0.0</v>
      </c>
      <c r="M195" s="4">
        <v>327.0</v>
      </c>
      <c r="N195" s="4">
        <v>623.0</v>
      </c>
      <c r="O195" s="4">
        <v>1667.0</v>
      </c>
    </row>
    <row r="196">
      <c r="A196" s="4">
        <v>2.026352035E9</v>
      </c>
      <c r="B196" s="5">
        <v>42481.0</v>
      </c>
      <c r="C196" s="4">
        <v>2467.0</v>
      </c>
      <c r="D196" s="4">
        <v>1.52999997138977</v>
      </c>
      <c r="E196" s="4">
        <v>1.52999997138977</v>
      </c>
      <c r="F196" s="4">
        <v>0.0</v>
      </c>
      <c r="G196" s="4">
        <v>0.0</v>
      </c>
      <c r="H196" s="4">
        <v>0.0</v>
      </c>
      <c r="I196" s="4">
        <v>1.52999997138977</v>
      </c>
      <c r="J196" s="4">
        <v>0.0</v>
      </c>
      <c r="K196" s="4">
        <v>0.0</v>
      </c>
      <c r="L196" s="4">
        <v>0.0</v>
      </c>
      <c r="M196" s="4">
        <v>153.0</v>
      </c>
      <c r="N196" s="4">
        <v>749.0</v>
      </c>
      <c r="O196" s="4">
        <v>1370.0</v>
      </c>
    </row>
    <row r="197">
      <c r="A197" s="4">
        <v>2.026352035E9</v>
      </c>
      <c r="B197" s="5">
        <v>42482.0</v>
      </c>
      <c r="C197" s="4">
        <v>2915.0</v>
      </c>
      <c r="D197" s="4">
        <v>1.80999994277954</v>
      </c>
      <c r="E197" s="4">
        <v>1.80999994277954</v>
      </c>
      <c r="F197" s="4">
        <v>0.0</v>
      </c>
      <c r="G197" s="4">
        <v>0.0</v>
      </c>
      <c r="H197" s="4">
        <v>0.0</v>
      </c>
      <c r="I197" s="4">
        <v>1.80999994277954</v>
      </c>
      <c r="J197" s="4">
        <v>0.0</v>
      </c>
      <c r="K197" s="4">
        <v>0.0</v>
      </c>
      <c r="L197" s="4">
        <v>0.0</v>
      </c>
      <c r="M197" s="4">
        <v>162.0</v>
      </c>
      <c r="N197" s="4">
        <v>712.0</v>
      </c>
      <c r="O197" s="4">
        <v>1399.0</v>
      </c>
    </row>
    <row r="198">
      <c r="A198" s="4">
        <v>2.026352035E9</v>
      </c>
      <c r="B198" s="5">
        <v>42483.0</v>
      </c>
      <c r="C198" s="4">
        <v>12357.0</v>
      </c>
      <c r="D198" s="4">
        <v>7.71000003814697</v>
      </c>
      <c r="E198" s="4">
        <v>7.71000003814697</v>
      </c>
      <c r="F198" s="4">
        <v>0.0</v>
      </c>
      <c r="G198" s="4">
        <v>0.0</v>
      </c>
      <c r="H198" s="4">
        <v>0.0</v>
      </c>
      <c r="I198" s="4">
        <v>7.71000003814697</v>
      </c>
      <c r="J198" s="4">
        <v>0.0</v>
      </c>
      <c r="K198" s="4">
        <v>0.0</v>
      </c>
      <c r="L198" s="4">
        <v>0.0</v>
      </c>
      <c r="M198" s="4">
        <v>432.0</v>
      </c>
      <c r="N198" s="4">
        <v>458.0</v>
      </c>
      <c r="O198" s="4">
        <v>1916.0</v>
      </c>
    </row>
    <row r="199">
      <c r="A199" s="4">
        <v>2.026352035E9</v>
      </c>
      <c r="B199" s="5">
        <v>42484.0</v>
      </c>
      <c r="C199" s="4">
        <v>3490.0</v>
      </c>
      <c r="D199" s="4">
        <v>2.16000008583069</v>
      </c>
      <c r="E199" s="4">
        <v>2.16000008583069</v>
      </c>
      <c r="F199" s="4">
        <v>0.0</v>
      </c>
      <c r="G199" s="4">
        <v>0.0</v>
      </c>
      <c r="H199" s="4">
        <v>0.0</v>
      </c>
      <c r="I199" s="4">
        <v>2.16000008583069</v>
      </c>
      <c r="J199" s="4">
        <v>0.0</v>
      </c>
      <c r="K199" s="4">
        <v>0.0</v>
      </c>
      <c r="L199" s="4">
        <v>0.0</v>
      </c>
      <c r="M199" s="4">
        <v>164.0</v>
      </c>
      <c r="N199" s="4">
        <v>704.0</v>
      </c>
      <c r="O199" s="4">
        <v>1401.0</v>
      </c>
    </row>
    <row r="200">
      <c r="A200" s="4">
        <v>2.026352035E9</v>
      </c>
      <c r="B200" s="5">
        <v>42485.0</v>
      </c>
      <c r="C200" s="4">
        <v>6017.0</v>
      </c>
      <c r="D200" s="4">
        <v>3.73000001907349</v>
      </c>
      <c r="E200" s="4">
        <v>3.73000001907349</v>
      </c>
      <c r="F200" s="4">
        <v>0.0</v>
      </c>
      <c r="G200" s="4">
        <v>0.0</v>
      </c>
      <c r="H200" s="4">
        <v>0.0</v>
      </c>
      <c r="I200" s="4">
        <v>3.73000001907349</v>
      </c>
      <c r="J200" s="4">
        <v>0.0</v>
      </c>
      <c r="K200" s="4">
        <v>0.0</v>
      </c>
      <c r="L200" s="4">
        <v>0.0</v>
      </c>
      <c r="M200" s="4">
        <v>260.0</v>
      </c>
      <c r="N200" s="4">
        <v>821.0</v>
      </c>
      <c r="O200" s="4">
        <v>1576.0</v>
      </c>
    </row>
    <row r="201">
      <c r="A201" s="4">
        <v>2.026352035E9</v>
      </c>
      <c r="B201" s="5">
        <v>42486.0</v>
      </c>
      <c r="C201" s="4">
        <v>5933.0</v>
      </c>
      <c r="D201" s="4">
        <v>3.6800000667572</v>
      </c>
      <c r="E201" s="4">
        <v>3.6800000667572</v>
      </c>
      <c r="F201" s="4">
        <v>0.0</v>
      </c>
      <c r="G201" s="4">
        <v>0.0</v>
      </c>
      <c r="H201" s="4">
        <v>0.0</v>
      </c>
      <c r="I201" s="4">
        <v>3.6800000667572</v>
      </c>
      <c r="J201" s="4">
        <v>0.0</v>
      </c>
      <c r="K201" s="4">
        <v>0.0</v>
      </c>
      <c r="L201" s="4">
        <v>0.0</v>
      </c>
      <c r="M201" s="4">
        <v>288.0</v>
      </c>
      <c r="N201" s="4">
        <v>1018.0</v>
      </c>
      <c r="O201" s="4">
        <v>1595.0</v>
      </c>
    </row>
    <row r="202">
      <c r="A202" s="4">
        <v>2.026352035E9</v>
      </c>
      <c r="B202" s="5">
        <v>42487.0</v>
      </c>
      <c r="C202" s="4">
        <v>6088.0</v>
      </c>
      <c r="D202" s="4">
        <v>3.76999998092651</v>
      </c>
      <c r="E202" s="4">
        <v>3.76999998092651</v>
      </c>
      <c r="F202" s="4">
        <v>0.0</v>
      </c>
      <c r="G202" s="4">
        <v>0.0</v>
      </c>
      <c r="H202" s="4">
        <v>0.0</v>
      </c>
      <c r="I202" s="4">
        <v>3.76999998092651</v>
      </c>
      <c r="J202" s="4">
        <v>0.0</v>
      </c>
      <c r="K202" s="4">
        <v>0.0</v>
      </c>
      <c r="L202" s="4">
        <v>0.0</v>
      </c>
      <c r="M202" s="4">
        <v>286.0</v>
      </c>
      <c r="N202" s="4">
        <v>586.0</v>
      </c>
      <c r="O202" s="4">
        <v>1593.0</v>
      </c>
    </row>
    <row r="203">
      <c r="A203" s="4">
        <v>2.026352035E9</v>
      </c>
      <c r="B203" s="5">
        <v>42488.0</v>
      </c>
      <c r="C203" s="4">
        <v>6375.0</v>
      </c>
      <c r="D203" s="4">
        <v>3.95000004768372</v>
      </c>
      <c r="E203" s="4">
        <v>3.95000004768372</v>
      </c>
      <c r="F203" s="4">
        <v>0.0</v>
      </c>
      <c r="G203" s="4">
        <v>0.0</v>
      </c>
      <c r="H203" s="4">
        <v>0.0</v>
      </c>
      <c r="I203" s="4">
        <v>3.95000004768372</v>
      </c>
      <c r="J203" s="4">
        <v>0.0</v>
      </c>
      <c r="K203" s="4">
        <v>0.0</v>
      </c>
      <c r="L203" s="4">
        <v>0.0</v>
      </c>
      <c r="M203" s="4">
        <v>331.0</v>
      </c>
      <c r="N203" s="4">
        <v>626.0</v>
      </c>
      <c r="O203" s="4">
        <v>1649.0</v>
      </c>
    </row>
    <row r="204">
      <c r="A204" s="4">
        <v>2.026352035E9</v>
      </c>
      <c r="B204" s="5">
        <v>42489.0</v>
      </c>
      <c r="C204" s="4">
        <v>7604.0</v>
      </c>
      <c r="D204" s="4">
        <v>4.71000003814697</v>
      </c>
      <c r="E204" s="4">
        <v>4.71000003814697</v>
      </c>
      <c r="F204" s="4">
        <v>0.0</v>
      </c>
      <c r="G204" s="4">
        <v>0.0</v>
      </c>
      <c r="H204" s="4">
        <v>0.0</v>
      </c>
      <c r="I204" s="4">
        <v>4.71000003814697</v>
      </c>
      <c r="J204" s="4">
        <v>0.0</v>
      </c>
      <c r="K204" s="4">
        <v>0.0</v>
      </c>
      <c r="L204" s="4">
        <v>0.0</v>
      </c>
      <c r="M204" s="4">
        <v>352.0</v>
      </c>
      <c r="N204" s="4">
        <v>492.0</v>
      </c>
      <c r="O204" s="4">
        <v>1692.0</v>
      </c>
    </row>
    <row r="205">
      <c r="A205" s="4">
        <v>2.026352035E9</v>
      </c>
      <c r="B205" s="5">
        <v>42490.0</v>
      </c>
      <c r="C205" s="4">
        <v>4729.0</v>
      </c>
      <c r="D205" s="4">
        <v>2.9300000667572</v>
      </c>
      <c r="E205" s="4">
        <v>2.9300000667572</v>
      </c>
      <c r="F205" s="4">
        <v>0.0</v>
      </c>
      <c r="G205" s="4">
        <v>0.0</v>
      </c>
      <c r="H205" s="4">
        <v>0.0</v>
      </c>
      <c r="I205" s="4">
        <v>2.9300000667572</v>
      </c>
      <c r="J205" s="4">
        <v>0.0</v>
      </c>
      <c r="K205" s="4">
        <v>0.0</v>
      </c>
      <c r="L205" s="4">
        <v>0.0</v>
      </c>
      <c r="M205" s="4">
        <v>233.0</v>
      </c>
      <c r="N205" s="4">
        <v>594.0</v>
      </c>
      <c r="O205" s="4">
        <v>1506.0</v>
      </c>
    </row>
    <row r="206">
      <c r="A206" s="4">
        <v>2.026352035E9</v>
      </c>
      <c r="B206" s="5">
        <v>42491.0</v>
      </c>
      <c r="C206" s="4">
        <v>3609.0</v>
      </c>
      <c r="D206" s="4">
        <v>2.27999997138977</v>
      </c>
      <c r="E206" s="4">
        <v>2.27999997138977</v>
      </c>
      <c r="F206" s="4">
        <v>0.0</v>
      </c>
      <c r="G206" s="4">
        <v>0.0</v>
      </c>
      <c r="H206" s="4">
        <v>0.0</v>
      </c>
      <c r="I206" s="4">
        <v>2.27999997138977</v>
      </c>
      <c r="J206" s="4">
        <v>0.0</v>
      </c>
      <c r="K206" s="4">
        <v>0.0</v>
      </c>
      <c r="L206" s="4">
        <v>0.0</v>
      </c>
      <c r="M206" s="4">
        <v>191.0</v>
      </c>
      <c r="N206" s="4">
        <v>716.0</v>
      </c>
      <c r="O206" s="4">
        <v>1447.0</v>
      </c>
    </row>
    <row r="207">
      <c r="A207" s="4">
        <v>2.026352035E9</v>
      </c>
      <c r="B207" s="5">
        <v>42492.0</v>
      </c>
      <c r="C207" s="4">
        <v>7018.0</v>
      </c>
      <c r="D207" s="4">
        <v>4.34999990463257</v>
      </c>
      <c r="E207" s="4">
        <v>4.34999990463257</v>
      </c>
      <c r="F207" s="4">
        <v>0.0</v>
      </c>
      <c r="G207" s="4">
        <v>0.0</v>
      </c>
      <c r="H207" s="4">
        <v>0.0</v>
      </c>
      <c r="I207" s="4">
        <v>4.34999990463257</v>
      </c>
      <c r="J207" s="4">
        <v>0.0</v>
      </c>
      <c r="K207" s="4">
        <v>0.0</v>
      </c>
      <c r="L207" s="4">
        <v>0.0</v>
      </c>
      <c r="M207" s="4">
        <v>355.0</v>
      </c>
      <c r="N207" s="4">
        <v>716.0</v>
      </c>
      <c r="O207" s="4">
        <v>1690.0</v>
      </c>
    </row>
    <row r="208">
      <c r="A208" s="4">
        <v>2.026352035E9</v>
      </c>
      <c r="B208" s="5">
        <v>42493.0</v>
      </c>
      <c r="C208" s="4">
        <v>5992.0</v>
      </c>
      <c r="D208" s="4">
        <v>3.72000002861023</v>
      </c>
      <c r="E208" s="4">
        <v>3.72000002861023</v>
      </c>
      <c r="F208" s="4">
        <v>0.0</v>
      </c>
      <c r="G208" s="4">
        <v>0.0</v>
      </c>
      <c r="H208" s="4">
        <v>0.0</v>
      </c>
      <c r="I208" s="4">
        <v>3.72000002861023</v>
      </c>
      <c r="J208" s="4">
        <v>0.0</v>
      </c>
      <c r="K208" s="4">
        <v>0.0</v>
      </c>
      <c r="L208" s="4">
        <v>0.0</v>
      </c>
      <c r="M208" s="4">
        <v>304.0</v>
      </c>
      <c r="N208" s="4">
        <v>981.0</v>
      </c>
      <c r="O208" s="4">
        <v>1604.0</v>
      </c>
    </row>
    <row r="209">
      <c r="A209" s="4">
        <v>2.026352035E9</v>
      </c>
      <c r="B209" s="5">
        <v>42494.0</v>
      </c>
      <c r="C209" s="4">
        <v>6564.0</v>
      </c>
      <c r="D209" s="4">
        <v>4.07000017166138</v>
      </c>
      <c r="E209" s="4">
        <v>4.07000017166138</v>
      </c>
      <c r="F209" s="4">
        <v>0.0</v>
      </c>
      <c r="G209" s="4">
        <v>0.0</v>
      </c>
      <c r="H209" s="4">
        <v>0.0</v>
      </c>
      <c r="I209" s="4">
        <v>4.07000017166138</v>
      </c>
      <c r="J209" s="4">
        <v>0.0</v>
      </c>
      <c r="K209" s="4">
        <v>0.0</v>
      </c>
      <c r="L209" s="4">
        <v>0.0</v>
      </c>
      <c r="M209" s="4">
        <v>345.0</v>
      </c>
      <c r="N209" s="4">
        <v>530.0</v>
      </c>
      <c r="O209" s="4">
        <v>1658.0</v>
      </c>
    </row>
    <row r="210">
      <c r="A210" s="4">
        <v>2.026352035E9</v>
      </c>
      <c r="B210" s="5">
        <v>42495.0</v>
      </c>
      <c r="C210" s="4">
        <v>12167.0</v>
      </c>
      <c r="D210" s="4">
        <v>7.53999996185303</v>
      </c>
      <c r="E210" s="4">
        <v>7.53999996185303</v>
      </c>
      <c r="F210" s="4">
        <v>0.0</v>
      </c>
      <c r="G210" s="4">
        <v>0.0</v>
      </c>
      <c r="H210" s="4">
        <v>0.0</v>
      </c>
      <c r="I210" s="4">
        <v>7.53999996185303</v>
      </c>
      <c r="J210" s="4">
        <v>0.0</v>
      </c>
      <c r="K210" s="4">
        <v>0.0</v>
      </c>
      <c r="L210" s="4">
        <v>0.0</v>
      </c>
      <c r="M210" s="4">
        <v>475.0</v>
      </c>
      <c r="N210" s="4">
        <v>479.0</v>
      </c>
      <c r="O210" s="4">
        <v>1926.0</v>
      </c>
    </row>
    <row r="211">
      <c r="A211" s="4">
        <v>2.026352035E9</v>
      </c>
      <c r="B211" s="5">
        <v>42496.0</v>
      </c>
      <c r="C211" s="4">
        <v>8198.0</v>
      </c>
      <c r="D211" s="4">
        <v>5.07999992370605</v>
      </c>
      <c r="E211" s="4">
        <v>5.07999992370605</v>
      </c>
      <c r="F211" s="4">
        <v>0.0</v>
      </c>
      <c r="G211" s="4">
        <v>0.0</v>
      </c>
      <c r="H211" s="4">
        <v>0.0</v>
      </c>
      <c r="I211" s="4">
        <v>5.07999992370605</v>
      </c>
      <c r="J211" s="4">
        <v>0.0</v>
      </c>
      <c r="K211" s="4">
        <v>0.0</v>
      </c>
      <c r="L211" s="4">
        <v>0.0</v>
      </c>
      <c r="M211" s="4">
        <v>383.0</v>
      </c>
      <c r="N211" s="4">
        <v>511.0</v>
      </c>
      <c r="O211" s="4">
        <v>1736.0</v>
      </c>
    </row>
    <row r="212">
      <c r="A212" s="4">
        <v>2.026352035E9</v>
      </c>
      <c r="B212" s="5">
        <v>42497.0</v>
      </c>
      <c r="C212" s="4">
        <v>4193.0</v>
      </c>
      <c r="D212" s="4">
        <v>2.59999990463257</v>
      </c>
      <c r="E212" s="4">
        <v>2.59999990463257</v>
      </c>
      <c r="F212" s="4">
        <v>0.0</v>
      </c>
      <c r="G212" s="4">
        <v>0.0</v>
      </c>
      <c r="H212" s="4">
        <v>0.0</v>
      </c>
      <c r="I212" s="4">
        <v>2.59999990463257</v>
      </c>
      <c r="J212" s="4">
        <v>0.0</v>
      </c>
      <c r="K212" s="4">
        <v>0.0</v>
      </c>
      <c r="L212" s="4">
        <v>0.0</v>
      </c>
      <c r="M212" s="4">
        <v>229.0</v>
      </c>
      <c r="N212" s="4">
        <v>665.0</v>
      </c>
      <c r="O212" s="4">
        <v>1491.0</v>
      </c>
    </row>
    <row r="213">
      <c r="A213" s="4">
        <v>2.026352035E9</v>
      </c>
      <c r="B213" s="5">
        <v>42498.0</v>
      </c>
      <c r="C213" s="4">
        <v>5528.0</v>
      </c>
      <c r="D213" s="4">
        <v>3.45000004768372</v>
      </c>
      <c r="E213" s="4">
        <v>3.45000004768372</v>
      </c>
      <c r="F213" s="4">
        <v>0.0</v>
      </c>
      <c r="G213" s="4">
        <v>0.0</v>
      </c>
      <c r="H213" s="4">
        <v>0.0</v>
      </c>
      <c r="I213" s="4">
        <v>3.45000004768372</v>
      </c>
      <c r="J213" s="4">
        <v>0.0</v>
      </c>
      <c r="K213" s="4">
        <v>0.0</v>
      </c>
      <c r="L213" s="4">
        <v>0.0</v>
      </c>
      <c r="M213" s="4">
        <v>258.0</v>
      </c>
      <c r="N213" s="4">
        <v>610.0</v>
      </c>
      <c r="O213" s="4">
        <v>1555.0</v>
      </c>
    </row>
    <row r="214">
      <c r="A214" s="4">
        <v>2.026352035E9</v>
      </c>
      <c r="B214" s="5">
        <v>42499.0</v>
      </c>
      <c r="C214" s="4">
        <v>10685.0</v>
      </c>
      <c r="D214" s="4">
        <v>6.61999988555908</v>
      </c>
      <c r="E214" s="4">
        <v>6.61999988555908</v>
      </c>
      <c r="F214" s="4">
        <v>0.0</v>
      </c>
      <c r="G214" s="4">
        <v>0.0</v>
      </c>
      <c r="H214" s="4">
        <v>0.0</v>
      </c>
      <c r="I214" s="4">
        <v>6.59999990463257</v>
      </c>
      <c r="J214" s="4">
        <v>0.0</v>
      </c>
      <c r="K214" s="4">
        <v>0.0</v>
      </c>
      <c r="L214" s="4">
        <v>0.0</v>
      </c>
      <c r="M214" s="4">
        <v>401.0</v>
      </c>
      <c r="N214" s="4">
        <v>543.0</v>
      </c>
      <c r="O214" s="4">
        <v>1869.0</v>
      </c>
    </row>
    <row r="215">
      <c r="A215" s="4">
        <v>2.026352035E9</v>
      </c>
      <c r="B215" s="5">
        <v>42500.0</v>
      </c>
      <c r="C215" s="4">
        <v>254.0</v>
      </c>
      <c r="D215" s="4">
        <v>0.159999996423721</v>
      </c>
      <c r="E215" s="4">
        <v>0.159999996423721</v>
      </c>
      <c r="F215" s="4">
        <v>0.0</v>
      </c>
      <c r="G215" s="4">
        <v>0.0</v>
      </c>
      <c r="H215" s="4">
        <v>0.0</v>
      </c>
      <c r="I215" s="4">
        <v>0.159999996423721</v>
      </c>
      <c r="J215" s="4">
        <v>0.0</v>
      </c>
      <c r="K215" s="4">
        <v>0.0</v>
      </c>
      <c r="L215" s="4">
        <v>0.0</v>
      </c>
      <c r="M215" s="4">
        <v>17.0</v>
      </c>
      <c r="N215" s="4">
        <v>1002.0</v>
      </c>
      <c r="O215" s="4">
        <v>1141.0</v>
      </c>
    </row>
    <row r="216">
      <c r="A216" s="4">
        <v>2.026352035E9</v>
      </c>
      <c r="B216" s="5">
        <v>42501.0</v>
      </c>
      <c r="C216" s="4">
        <v>8580.0</v>
      </c>
      <c r="D216" s="4">
        <v>5.32000017166138</v>
      </c>
      <c r="E216" s="4">
        <v>5.32000017166138</v>
      </c>
      <c r="F216" s="4">
        <v>0.0</v>
      </c>
      <c r="G216" s="4">
        <v>0.0</v>
      </c>
      <c r="H216" s="4">
        <v>0.0</v>
      </c>
      <c r="I216" s="4">
        <v>5.32000017166138</v>
      </c>
      <c r="J216" s="4">
        <v>0.0</v>
      </c>
      <c r="K216" s="4">
        <v>0.0</v>
      </c>
      <c r="L216" s="4">
        <v>0.0</v>
      </c>
      <c r="M216" s="4">
        <v>330.0</v>
      </c>
      <c r="N216" s="4">
        <v>569.0</v>
      </c>
      <c r="O216" s="4">
        <v>1698.0</v>
      </c>
    </row>
    <row r="217">
      <c r="A217" s="4">
        <v>2.026352035E9</v>
      </c>
      <c r="B217" s="5">
        <v>42502.0</v>
      </c>
      <c r="C217" s="4">
        <v>8891.0</v>
      </c>
      <c r="D217" s="4">
        <v>5.51000022888184</v>
      </c>
      <c r="E217" s="4">
        <v>5.51000022888184</v>
      </c>
      <c r="F217" s="4">
        <v>0.0</v>
      </c>
      <c r="G217" s="4">
        <v>0.0</v>
      </c>
      <c r="H217" s="4">
        <v>0.0</v>
      </c>
      <c r="I217" s="4">
        <v>5.51000022888184</v>
      </c>
      <c r="J217" s="4">
        <v>0.0</v>
      </c>
      <c r="K217" s="4">
        <v>0.0</v>
      </c>
      <c r="L217" s="4">
        <v>0.0</v>
      </c>
      <c r="M217" s="4">
        <v>343.0</v>
      </c>
      <c r="N217" s="4">
        <v>330.0</v>
      </c>
      <c r="O217" s="4">
        <v>1364.0</v>
      </c>
    </row>
    <row r="218">
      <c r="A218" s="4">
        <v>2.320127002E9</v>
      </c>
      <c r="B218" s="5">
        <v>42472.0</v>
      </c>
      <c r="C218" s="4">
        <v>10725.0</v>
      </c>
      <c r="D218" s="4">
        <v>7.48999977111816</v>
      </c>
      <c r="E218" s="4">
        <v>7.48999977111816</v>
      </c>
      <c r="F218" s="4">
        <v>0.0</v>
      </c>
      <c r="G218" s="4">
        <v>1.16999995708466</v>
      </c>
      <c r="H218" s="4">
        <v>0.310000002384186</v>
      </c>
      <c r="I218" s="4">
        <v>6.01000022888184</v>
      </c>
      <c r="J218" s="4">
        <v>0.0</v>
      </c>
      <c r="K218" s="4">
        <v>13.0</v>
      </c>
      <c r="L218" s="4">
        <v>9.0</v>
      </c>
      <c r="M218" s="4">
        <v>306.0</v>
      </c>
      <c r="N218" s="4">
        <v>1112.0</v>
      </c>
      <c r="O218" s="4">
        <v>2124.0</v>
      </c>
    </row>
    <row r="219">
      <c r="A219" s="4">
        <v>2.320127002E9</v>
      </c>
      <c r="B219" s="5">
        <v>42473.0</v>
      </c>
      <c r="C219" s="4">
        <v>7275.0</v>
      </c>
      <c r="D219" s="4">
        <v>4.90000009536743</v>
      </c>
      <c r="E219" s="4">
        <v>4.90000009536743</v>
      </c>
      <c r="F219" s="4">
        <v>0.0</v>
      </c>
      <c r="G219" s="4">
        <v>0.0</v>
      </c>
      <c r="H219" s="4">
        <v>0.0</v>
      </c>
      <c r="I219" s="4">
        <v>4.90000009536743</v>
      </c>
      <c r="J219" s="4">
        <v>0.0</v>
      </c>
      <c r="K219" s="4">
        <v>0.0</v>
      </c>
      <c r="L219" s="4">
        <v>0.0</v>
      </c>
      <c r="M219" s="4">
        <v>335.0</v>
      </c>
      <c r="N219" s="4">
        <v>1105.0</v>
      </c>
      <c r="O219" s="4">
        <v>2003.0</v>
      </c>
    </row>
    <row r="220">
      <c r="A220" s="4">
        <v>2.320127002E9</v>
      </c>
      <c r="B220" s="5">
        <v>42474.0</v>
      </c>
      <c r="C220" s="4">
        <v>3973.0</v>
      </c>
      <c r="D220" s="4">
        <v>2.6800000667572</v>
      </c>
      <c r="E220" s="4">
        <v>2.6800000667572</v>
      </c>
      <c r="F220" s="4">
        <v>0.0</v>
      </c>
      <c r="G220" s="4">
        <v>0.0</v>
      </c>
      <c r="H220" s="4">
        <v>0.0</v>
      </c>
      <c r="I220" s="4">
        <v>2.6800000667572</v>
      </c>
      <c r="J220" s="4">
        <v>0.0</v>
      </c>
      <c r="K220" s="4">
        <v>0.0</v>
      </c>
      <c r="L220" s="4">
        <v>0.0</v>
      </c>
      <c r="M220" s="4">
        <v>191.0</v>
      </c>
      <c r="N220" s="4">
        <v>1249.0</v>
      </c>
      <c r="O220" s="4">
        <v>1696.0</v>
      </c>
    </row>
    <row r="221">
      <c r="A221" s="4">
        <v>2.320127002E9</v>
      </c>
      <c r="B221" s="5">
        <v>42475.0</v>
      </c>
      <c r="C221" s="4">
        <v>5205.0</v>
      </c>
      <c r="D221" s="4">
        <v>3.50999999046326</v>
      </c>
      <c r="E221" s="4">
        <v>3.50999999046326</v>
      </c>
      <c r="F221" s="4">
        <v>0.0</v>
      </c>
      <c r="G221" s="4">
        <v>0.0</v>
      </c>
      <c r="H221" s="4">
        <v>0.0</v>
      </c>
      <c r="I221" s="4">
        <v>3.50999999046326</v>
      </c>
      <c r="J221" s="4">
        <v>0.0</v>
      </c>
      <c r="K221" s="4">
        <v>0.0</v>
      </c>
      <c r="L221" s="4">
        <v>0.0</v>
      </c>
      <c r="M221" s="4">
        <v>245.0</v>
      </c>
      <c r="N221" s="4">
        <v>1195.0</v>
      </c>
      <c r="O221" s="4">
        <v>1801.0</v>
      </c>
    </row>
    <row r="222">
      <c r="A222" s="4">
        <v>2.320127002E9</v>
      </c>
      <c r="B222" s="5">
        <v>42476.0</v>
      </c>
      <c r="C222" s="4">
        <v>5057.0</v>
      </c>
      <c r="D222" s="4">
        <v>3.41000008583069</v>
      </c>
      <c r="E222" s="4">
        <v>3.41000008583069</v>
      </c>
      <c r="F222" s="4">
        <v>0.0</v>
      </c>
      <c r="G222" s="4">
        <v>0.0</v>
      </c>
      <c r="H222" s="4">
        <v>0.0</v>
      </c>
      <c r="I222" s="4">
        <v>3.40000009536743</v>
      </c>
      <c r="J222" s="4">
        <v>0.0</v>
      </c>
      <c r="K222" s="4">
        <v>0.0</v>
      </c>
      <c r="L222" s="4">
        <v>0.0</v>
      </c>
      <c r="M222" s="4">
        <v>195.0</v>
      </c>
      <c r="N222" s="4">
        <v>1245.0</v>
      </c>
      <c r="O222" s="4">
        <v>1724.0</v>
      </c>
    </row>
    <row r="223">
      <c r="A223" s="4">
        <v>2.320127002E9</v>
      </c>
      <c r="B223" s="5">
        <v>42477.0</v>
      </c>
      <c r="C223" s="4">
        <v>6198.0</v>
      </c>
      <c r="D223" s="4">
        <v>4.17999982833862</v>
      </c>
      <c r="E223" s="4">
        <v>4.17999982833862</v>
      </c>
      <c r="F223" s="4">
        <v>0.0</v>
      </c>
      <c r="G223" s="4">
        <v>0.0</v>
      </c>
      <c r="H223" s="4">
        <v>0.0</v>
      </c>
      <c r="I223" s="4">
        <v>4.17999982833862</v>
      </c>
      <c r="J223" s="4">
        <v>0.0</v>
      </c>
      <c r="K223" s="4">
        <v>0.0</v>
      </c>
      <c r="L223" s="4">
        <v>0.0</v>
      </c>
      <c r="M223" s="4">
        <v>249.0</v>
      </c>
      <c r="N223" s="4">
        <v>1191.0</v>
      </c>
      <c r="O223" s="4">
        <v>1852.0</v>
      </c>
    </row>
    <row r="224">
      <c r="A224" s="4">
        <v>2.320127002E9</v>
      </c>
      <c r="B224" s="5">
        <v>42478.0</v>
      </c>
      <c r="C224" s="4">
        <v>6559.0</v>
      </c>
      <c r="D224" s="4">
        <v>4.42000007629395</v>
      </c>
      <c r="E224" s="4">
        <v>4.42000007629395</v>
      </c>
      <c r="F224" s="4">
        <v>0.0</v>
      </c>
      <c r="G224" s="4">
        <v>0.0</v>
      </c>
      <c r="H224" s="4">
        <v>0.259999990463257</v>
      </c>
      <c r="I224" s="4">
        <v>4.1399998664856</v>
      </c>
      <c r="J224" s="4">
        <v>0.0</v>
      </c>
      <c r="K224" s="4">
        <v>0.0</v>
      </c>
      <c r="L224" s="4">
        <v>7.0</v>
      </c>
      <c r="M224" s="4">
        <v>260.0</v>
      </c>
      <c r="N224" s="4">
        <v>1173.0</v>
      </c>
      <c r="O224" s="4">
        <v>1905.0</v>
      </c>
    </row>
    <row r="225">
      <c r="A225" s="4">
        <v>2.320127002E9</v>
      </c>
      <c r="B225" s="5">
        <v>42479.0</v>
      </c>
      <c r="C225" s="4">
        <v>5997.0</v>
      </c>
      <c r="D225" s="4">
        <v>4.03999996185303</v>
      </c>
      <c r="E225" s="4">
        <v>4.03999996185303</v>
      </c>
      <c r="F225" s="4">
        <v>0.0</v>
      </c>
      <c r="G225" s="4">
        <v>0.0</v>
      </c>
      <c r="H225" s="4">
        <v>0.379999995231628</v>
      </c>
      <c r="I225" s="4">
        <v>3.66000008583069</v>
      </c>
      <c r="J225" s="4">
        <v>0.0</v>
      </c>
      <c r="K225" s="4">
        <v>0.0</v>
      </c>
      <c r="L225" s="4">
        <v>11.0</v>
      </c>
      <c r="M225" s="4">
        <v>228.0</v>
      </c>
      <c r="N225" s="4">
        <v>1201.0</v>
      </c>
      <c r="O225" s="4">
        <v>1811.0</v>
      </c>
    </row>
    <row r="226">
      <c r="A226" s="4">
        <v>2.320127002E9</v>
      </c>
      <c r="B226" s="5">
        <v>42480.0</v>
      </c>
      <c r="C226" s="4">
        <v>7192.0</v>
      </c>
      <c r="D226" s="4">
        <v>4.84999990463257</v>
      </c>
      <c r="E226" s="4">
        <v>4.84999990463257</v>
      </c>
      <c r="F226" s="4">
        <v>0.0</v>
      </c>
      <c r="G226" s="4">
        <v>0.0</v>
      </c>
      <c r="H226" s="4">
        <v>0.490000009536743</v>
      </c>
      <c r="I226" s="4">
        <v>4.34000015258789</v>
      </c>
      <c r="J226" s="4">
        <v>0.0</v>
      </c>
      <c r="K226" s="4">
        <v>0.0</v>
      </c>
      <c r="L226" s="4">
        <v>11.0</v>
      </c>
      <c r="M226" s="4">
        <v>283.0</v>
      </c>
      <c r="N226" s="4">
        <v>1146.0</v>
      </c>
      <c r="O226" s="4">
        <v>1922.0</v>
      </c>
    </row>
    <row r="227">
      <c r="A227" s="4">
        <v>2.320127002E9</v>
      </c>
      <c r="B227" s="5">
        <v>42481.0</v>
      </c>
      <c r="C227" s="4">
        <v>3404.0</v>
      </c>
      <c r="D227" s="4">
        <v>2.28999996185303</v>
      </c>
      <c r="E227" s="4">
        <v>2.28999996185303</v>
      </c>
      <c r="F227" s="4">
        <v>0.0</v>
      </c>
      <c r="G227" s="4">
        <v>0.0599999986588955</v>
      </c>
      <c r="H227" s="4">
        <v>0.419999986886978</v>
      </c>
      <c r="I227" s="4">
        <v>1.80999994277954</v>
      </c>
      <c r="J227" s="4">
        <v>0.0</v>
      </c>
      <c r="K227" s="4">
        <v>1.0</v>
      </c>
      <c r="L227" s="4">
        <v>10.0</v>
      </c>
      <c r="M227" s="4">
        <v>127.0</v>
      </c>
      <c r="N227" s="4">
        <v>1302.0</v>
      </c>
      <c r="O227" s="4">
        <v>1610.0</v>
      </c>
    </row>
    <row r="228">
      <c r="A228" s="4">
        <v>2.320127002E9</v>
      </c>
      <c r="B228" s="5">
        <v>42482.0</v>
      </c>
      <c r="C228" s="4">
        <v>5583.0</v>
      </c>
      <c r="D228" s="4">
        <v>3.75999999046326</v>
      </c>
      <c r="E228" s="4">
        <v>3.75999999046326</v>
      </c>
      <c r="F228" s="4">
        <v>0.0</v>
      </c>
      <c r="G228" s="4">
        <v>0.0</v>
      </c>
      <c r="H228" s="4">
        <v>0.0</v>
      </c>
      <c r="I228" s="4">
        <v>3.75999999046326</v>
      </c>
      <c r="J228" s="4">
        <v>0.0</v>
      </c>
      <c r="K228" s="4">
        <v>0.0</v>
      </c>
      <c r="L228" s="4">
        <v>0.0</v>
      </c>
      <c r="M228" s="4">
        <v>266.0</v>
      </c>
      <c r="N228" s="4">
        <v>1174.0</v>
      </c>
      <c r="O228" s="4">
        <v>1851.0</v>
      </c>
    </row>
    <row r="229">
      <c r="A229" s="4">
        <v>2.320127002E9</v>
      </c>
      <c r="B229" s="5">
        <v>42483.0</v>
      </c>
      <c r="C229" s="4">
        <v>5079.0</v>
      </c>
      <c r="D229" s="4">
        <v>3.42000007629395</v>
      </c>
      <c r="E229" s="4">
        <v>3.42000007629395</v>
      </c>
      <c r="F229" s="4">
        <v>0.0</v>
      </c>
      <c r="G229" s="4">
        <v>0.0</v>
      </c>
      <c r="H229" s="4">
        <v>0.0</v>
      </c>
      <c r="I229" s="4">
        <v>3.42000007629395</v>
      </c>
      <c r="J229" s="4">
        <v>0.0</v>
      </c>
      <c r="K229" s="4">
        <v>0.0</v>
      </c>
      <c r="L229" s="4">
        <v>0.0</v>
      </c>
      <c r="M229" s="4">
        <v>242.0</v>
      </c>
      <c r="N229" s="4">
        <v>1129.0</v>
      </c>
      <c r="O229" s="4">
        <v>1804.0</v>
      </c>
    </row>
    <row r="230">
      <c r="A230" s="4">
        <v>2.320127002E9</v>
      </c>
      <c r="B230" s="5">
        <v>42484.0</v>
      </c>
      <c r="C230" s="4">
        <v>4165.0</v>
      </c>
      <c r="D230" s="4">
        <v>2.80999994277954</v>
      </c>
      <c r="E230" s="4">
        <v>2.80999994277954</v>
      </c>
      <c r="F230" s="4">
        <v>0.0</v>
      </c>
      <c r="G230" s="4">
        <v>0.0</v>
      </c>
      <c r="H230" s="4">
        <v>0.0</v>
      </c>
      <c r="I230" s="4">
        <v>2.79999995231628</v>
      </c>
      <c r="J230" s="4">
        <v>0.0</v>
      </c>
      <c r="K230" s="4">
        <v>0.0</v>
      </c>
      <c r="L230" s="4">
        <v>0.0</v>
      </c>
      <c r="M230" s="4">
        <v>204.0</v>
      </c>
      <c r="N230" s="4">
        <v>1236.0</v>
      </c>
      <c r="O230" s="4">
        <v>1725.0</v>
      </c>
    </row>
    <row r="231">
      <c r="A231" s="4">
        <v>2.320127002E9</v>
      </c>
      <c r="B231" s="5">
        <v>42485.0</v>
      </c>
      <c r="C231" s="4">
        <v>3588.0</v>
      </c>
      <c r="D231" s="4">
        <v>2.42000007629395</v>
      </c>
      <c r="E231" s="4">
        <v>2.42000007629395</v>
      </c>
      <c r="F231" s="4">
        <v>0.0</v>
      </c>
      <c r="G231" s="4">
        <v>0.230000004172325</v>
      </c>
      <c r="H231" s="4">
        <v>0.200000002980232</v>
      </c>
      <c r="I231" s="4">
        <v>1.99000000953674</v>
      </c>
      <c r="J231" s="4">
        <v>0.0</v>
      </c>
      <c r="K231" s="4">
        <v>3.0</v>
      </c>
      <c r="L231" s="4">
        <v>5.0</v>
      </c>
      <c r="M231" s="4">
        <v>152.0</v>
      </c>
      <c r="N231" s="4">
        <v>1280.0</v>
      </c>
      <c r="O231" s="4">
        <v>1654.0</v>
      </c>
    </row>
    <row r="232">
      <c r="A232" s="4">
        <v>2.320127002E9</v>
      </c>
      <c r="B232" s="5">
        <v>42486.0</v>
      </c>
      <c r="C232" s="4">
        <v>3409.0</v>
      </c>
      <c r="D232" s="4">
        <v>2.29999995231628</v>
      </c>
      <c r="E232" s="4">
        <v>2.29999995231628</v>
      </c>
      <c r="F232" s="4">
        <v>0.0</v>
      </c>
      <c r="G232" s="4">
        <v>0.0</v>
      </c>
      <c r="H232" s="4">
        <v>0.0</v>
      </c>
      <c r="I232" s="4">
        <v>2.29999995231628</v>
      </c>
      <c r="J232" s="4">
        <v>0.0</v>
      </c>
      <c r="K232" s="4">
        <v>0.0</v>
      </c>
      <c r="L232" s="4">
        <v>0.0</v>
      </c>
      <c r="M232" s="4">
        <v>147.0</v>
      </c>
      <c r="N232" s="4">
        <v>1293.0</v>
      </c>
      <c r="O232" s="4">
        <v>1632.0</v>
      </c>
    </row>
    <row r="233">
      <c r="A233" s="4">
        <v>2.320127002E9</v>
      </c>
      <c r="B233" s="5">
        <v>42487.0</v>
      </c>
      <c r="C233" s="4">
        <v>1715.0</v>
      </c>
      <c r="D233" s="4">
        <v>1.1599999666214</v>
      </c>
      <c r="E233" s="4">
        <v>1.1599999666214</v>
      </c>
      <c r="F233" s="4">
        <v>0.0</v>
      </c>
      <c r="G233" s="4">
        <v>0.0</v>
      </c>
      <c r="H233" s="4">
        <v>0.0</v>
      </c>
      <c r="I233" s="4">
        <v>1.1599999666214</v>
      </c>
      <c r="J233" s="4">
        <v>0.0</v>
      </c>
      <c r="K233" s="4">
        <v>0.0</v>
      </c>
      <c r="L233" s="4">
        <v>0.0</v>
      </c>
      <c r="M233" s="4">
        <v>82.0</v>
      </c>
      <c r="N233" s="4">
        <v>1358.0</v>
      </c>
      <c r="O233" s="4">
        <v>1481.0</v>
      </c>
    </row>
    <row r="234">
      <c r="A234" s="4">
        <v>2.320127002E9</v>
      </c>
      <c r="B234" s="5">
        <v>42488.0</v>
      </c>
      <c r="C234" s="4">
        <v>1532.0</v>
      </c>
      <c r="D234" s="4">
        <v>1.02999997138977</v>
      </c>
      <c r="E234" s="4">
        <v>1.02999997138977</v>
      </c>
      <c r="F234" s="4">
        <v>0.0</v>
      </c>
      <c r="G234" s="4">
        <v>0.0</v>
      </c>
      <c r="H234" s="4">
        <v>0.0</v>
      </c>
      <c r="I234" s="4">
        <v>1.02999997138977</v>
      </c>
      <c r="J234" s="4">
        <v>0.0</v>
      </c>
      <c r="K234" s="4">
        <v>0.0</v>
      </c>
      <c r="L234" s="4">
        <v>0.0</v>
      </c>
      <c r="M234" s="4">
        <v>76.0</v>
      </c>
      <c r="N234" s="4">
        <v>1364.0</v>
      </c>
      <c r="O234" s="4">
        <v>1473.0</v>
      </c>
    </row>
    <row r="235">
      <c r="A235" s="4">
        <v>2.320127002E9</v>
      </c>
      <c r="B235" s="5">
        <v>42489.0</v>
      </c>
      <c r="C235" s="4">
        <v>924.0</v>
      </c>
      <c r="D235" s="4">
        <v>0.620000004768372</v>
      </c>
      <c r="E235" s="4">
        <v>0.620000004768372</v>
      </c>
      <c r="F235" s="4">
        <v>0.0</v>
      </c>
      <c r="G235" s="4">
        <v>0.0</v>
      </c>
      <c r="H235" s="4">
        <v>0.0</v>
      </c>
      <c r="I235" s="4">
        <v>0.620000004768372</v>
      </c>
      <c r="J235" s="4">
        <v>0.0</v>
      </c>
      <c r="K235" s="4">
        <v>0.0</v>
      </c>
      <c r="L235" s="4">
        <v>0.0</v>
      </c>
      <c r="M235" s="4">
        <v>45.0</v>
      </c>
      <c r="N235" s="4">
        <v>1395.0</v>
      </c>
      <c r="O235" s="4">
        <v>1410.0</v>
      </c>
    </row>
    <row r="236">
      <c r="A236" s="4">
        <v>2.320127002E9</v>
      </c>
      <c r="B236" s="5">
        <v>42490.0</v>
      </c>
      <c r="C236" s="4">
        <v>4571.0</v>
      </c>
      <c r="D236" s="4">
        <v>3.07999992370605</v>
      </c>
      <c r="E236" s="4">
        <v>3.07999992370605</v>
      </c>
      <c r="F236" s="4">
        <v>0.0</v>
      </c>
      <c r="G236" s="4">
        <v>0.0</v>
      </c>
      <c r="H236" s="4">
        <v>0.0</v>
      </c>
      <c r="I236" s="4">
        <v>3.0699999332428</v>
      </c>
      <c r="J236" s="4">
        <v>0.0</v>
      </c>
      <c r="K236" s="4">
        <v>0.0</v>
      </c>
      <c r="L236" s="4">
        <v>0.0</v>
      </c>
      <c r="M236" s="4">
        <v>234.0</v>
      </c>
      <c r="N236" s="4">
        <v>1206.0</v>
      </c>
      <c r="O236" s="4">
        <v>1779.0</v>
      </c>
    </row>
    <row r="237">
      <c r="A237" s="4">
        <v>2.320127002E9</v>
      </c>
      <c r="B237" s="5">
        <v>42491.0</v>
      </c>
      <c r="C237" s="4">
        <v>772.0</v>
      </c>
      <c r="D237" s="4">
        <v>0.519999980926514</v>
      </c>
      <c r="E237" s="4">
        <v>0.519999980926514</v>
      </c>
      <c r="F237" s="4">
        <v>0.0</v>
      </c>
      <c r="G237" s="4">
        <v>0.0</v>
      </c>
      <c r="H237" s="4">
        <v>0.0</v>
      </c>
      <c r="I237" s="4">
        <v>0.519999980926514</v>
      </c>
      <c r="J237" s="4">
        <v>0.0</v>
      </c>
      <c r="K237" s="4">
        <v>0.0</v>
      </c>
      <c r="L237" s="4">
        <v>0.0</v>
      </c>
      <c r="M237" s="4">
        <v>40.0</v>
      </c>
      <c r="N237" s="4">
        <v>1400.0</v>
      </c>
      <c r="O237" s="4">
        <v>1403.0</v>
      </c>
    </row>
    <row r="238">
      <c r="A238" s="4">
        <v>2.320127002E9</v>
      </c>
      <c r="B238" s="5">
        <v>42492.0</v>
      </c>
      <c r="C238" s="4">
        <v>3634.0</v>
      </c>
      <c r="D238" s="4">
        <v>2.45000004768372</v>
      </c>
      <c r="E238" s="4">
        <v>2.45000004768372</v>
      </c>
      <c r="F238" s="4">
        <v>0.0</v>
      </c>
      <c r="G238" s="4">
        <v>0.360000014305115</v>
      </c>
      <c r="H238" s="4">
        <v>0.209999993443489</v>
      </c>
      <c r="I238" s="4">
        <v>1.87999999523163</v>
      </c>
      <c r="J238" s="4">
        <v>0.0</v>
      </c>
      <c r="K238" s="4">
        <v>5.0</v>
      </c>
      <c r="L238" s="4">
        <v>6.0</v>
      </c>
      <c r="M238" s="4">
        <v>123.0</v>
      </c>
      <c r="N238" s="4">
        <v>1306.0</v>
      </c>
      <c r="O238" s="4">
        <v>1613.0</v>
      </c>
    </row>
    <row r="239">
      <c r="A239" s="4">
        <v>2.320127002E9</v>
      </c>
      <c r="B239" s="5">
        <v>42493.0</v>
      </c>
      <c r="C239" s="4">
        <v>7443.0</v>
      </c>
      <c r="D239" s="4">
        <v>5.01999998092651</v>
      </c>
      <c r="E239" s="4">
        <v>5.01999998092651</v>
      </c>
      <c r="F239" s="4">
        <v>0.0</v>
      </c>
      <c r="G239" s="4">
        <v>1.49000000953674</v>
      </c>
      <c r="H239" s="4">
        <v>0.370000004768372</v>
      </c>
      <c r="I239" s="4">
        <v>3.16000008583069</v>
      </c>
      <c r="J239" s="4">
        <v>0.0</v>
      </c>
      <c r="K239" s="4">
        <v>20.0</v>
      </c>
      <c r="L239" s="4">
        <v>10.0</v>
      </c>
      <c r="M239" s="4">
        <v>206.0</v>
      </c>
      <c r="N239" s="4">
        <v>1204.0</v>
      </c>
      <c r="O239" s="4">
        <v>1878.0</v>
      </c>
    </row>
    <row r="240">
      <c r="A240" s="4">
        <v>2.320127002E9</v>
      </c>
      <c r="B240" s="5">
        <v>42494.0</v>
      </c>
      <c r="C240" s="4">
        <v>1201.0</v>
      </c>
      <c r="D240" s="4">
        <v>0.810000002384186</v>
      </c>
      <c r="E240" s="4">
        <v>0.810000002384186</v>
      </c>
      <c r="F240" s="4">
        <v>0.0</v>
      </c>
      <c r="G240" s="4">
        <v>0.0</v>
      </c>
      <c r="H240" s="4">
        <v>0.0</v>
      </c>
      <c r="I240" s="4">
        <v>0.810000002384186</v>
      </c>
      <c r="J240" s="4">
        <v>0.0</v>
      </c>
      <c r="K240" s="4">
        <v>0.0</v>
      </c>
      <c r="L240" s="4">
        <v>0.0</v>
      </c>
      <c r="M240" s="4">
        <v>52.0</v>
      </c>
      <c r="N240" s="4">
        <v>1388.0</v>
      </c>
      <c r="O240" s="4">
        <v>1426.0</v>
      </c>
    </row>
    <row r="241">
      <c r="A241" s="4">
        <v>2.320127002E9</v>
      </c>
      <c r="B241" s="5">
        <v>42495.0</v>
      </c>
      <c r="C241" s="4">
        <v>5202.0</v>
      </c>
      <c r="D241" s="4">
        <v>3.50999999046326</v>
      </c>
      <c r="E241" s="4">
        <v>3.50999999046326</v>
      </c>
      <c r="F241" s="4">
        <v>0.0</v>
      </c>
      <c r="G241" s="4">
        <v>0.0</v>
      </c>
      <c r="H241" s="4">
        <v>0.389999985694885</v>
      </c>
      <c r="I241" s="4">
        <v>3.10999989509583</v>
      </c>
      <c r="J241" s="4">
        <v>0.0</v>
      </c>
      <c r="K241" s="4">
        <v>0.0</v>
      </c>
      <c r="L241" s="4">
        <v>11.0</v>
      </c>
      <c r="M241" s="4">
        <v>223.0</v>
      </c>
      <c r="N241" s="4">
        <v>1206.0</v>
      </c>
      <c r="O241" s="4">
        <v>1780.0</v>
      </c>
    </row>
    <row r="242">
      <c r="A242" s="4">
        <v>2.320127002E9</v>
      </c>
      <c r="B242" s="5">
        <v>42496.0</v>
      </c>
      <c r="C242" s="4">
        <v>4878.0</v>
      </c>
      <c r="D242" s="4">
        <v>3.28999996185303</v>
      </c>
      <c r="E242" s="4">
        <v>3.28999996185303</v>
      </c>
      <c r="F242" s="4">
        <v>0.0</v>
      </c>
      <c r="G242" s="4">
        <v>0.0</v>
      </c>
      <c r="H242" s="4">
        <v>0.0</v>
      </c>
      <c r="I242" s="4">
        <v>3.28999996185303</v>
      </c>
      <c r="J242" s="4">
        <v>0.0</v>
      </c>
      <c r="K242" s="4">
        <v>0.0</v>
      </c>
      <c r="L242" s="4">
        <v>0.0</v>
      </c>
      <c r="M242" s="4">
        <v>204.0</v>
      </c>
      <c r="N242" s="4">
        <v>1236.0</v>
      </c>
      <c r="O242" s="4">
        <v>1742.0</v>
      </c>
    </row>
    <row r="243">
      <c r="A243" s="4">
        <v>2.320127002E9</v>
      </c>
      <c r="B243" s="5">
        <v>42497.0</v>
      </c>
      <c r="C243" s="4">
        <v>7379.0</v>
      </c>
      <c r="D243" s="4">
        <v>4.96999979019165</v>
      </c>
      <c r="E243" s="4">
        <v>4.96999979019165</v>
      </c>
      <c r="F243" s="4">
        <v>0.0</v>
      </c>
      <c r="G243" s="4">
        <v>0.0</v>
      </c>
      <c r="H243" s="4">
        <v>0.0</v>
      </c>
      <c r="I243" s="4">
        <v>4.96999979019165</v>
      </c>
      <c r="J243" s="4">
        <v>0.0</v>
      </c>
      <c r="K243" s="4">
        <v>0.0</v>
      </c>
      <c r="L243" s="4">
        <v>0.0</v>
      </c>
      <c r="M243" s="4">
        <v>319.0</v>
      </c>
      <c r="N243" s="4">
        <v>1121.0</v>
      </c>
      <c r="O243" s="4">
        <v>1972.0</v>
      </c>
    </row>
    <row r="244">
      <c r="A244" s="4">
        <v>2.320127002E9</v>
      </c>
      <c r="B244" s="5">
        <v>42498.0</v>
      </c>
      <c r="C244" s="4">
        <v>5161.0</v>
      </c>
      <c r="D244" s="4">
        <v>3.48000001907349</v>
      </c>
      <c r="E244" s="4">
        <v>3.48000001907349</v>
      </c>
      <c r="F244" s="4">
        <v>0.0</v>
      </c>
      <c r="G244" s="4">
        <v>0.0</v>
      </c>
      <c r="H244" s="4">
        <v>0.0</v>
      </c>
      <c r="I244" s="4">
        <v>3.47000002861023</v>
      </c>
      <c r="J244" s="4">
        <v>0.0</v>
      </c>
      <c r="K244" s="4">
        <v>0.0</v>
      </c>
      <c r="L244" s="4">
        <v>0.0</v>
      </c>
      <c r="M244" s="4">
        <v>247.0</v>
      </c>
      <c r="N244" s="4">
        <v>1193.0</v>
      </c>
      <c r="O244" s="4">
        <v>1821.0</v>
      </c>
    </row>
    <row r="245">
      <c r="A245" s="4">
        <v>2.320127002E9</v>
      </c>
      <c r="B245" s="5">
        <v>42499.0</v>
      </c>
      <c r="C245" s="4">
        <v>3090.0</v>
      </c>
      <c r="D245" s="4">
        <v>2.07999992370605</v>
      </c>
      <c r="E245" s="4">
        <v>2.07999992370605</v>
      </c>
      <c r="F245" s="4">
        <v>0.0</v>
      </c>
      <c r="G245" s="4">
        <v>0.0</v>
      </c>
      <c r="H245" s="4">
        <v>0.0</v>
      </c>
      <c r="I245" s="4">
        <v>2.07999992370605</v>
      </c>
      <c r="J245" s="4">
        <v>0.0</v>
      </c>
      <c r="K245" s="4">
        <v>0.0</v>
      </c>
      <c r="L245" s="4">
        <v>0.0</v>
      </c>
      <c r="M245" s="4">
        <v>145.0</v>
      </c>
      <c r="N245" s="4">
        <v>1295.0</v>
      </c>
      <c r="O245" s="4">
        <v>1630.0</v>
      </c>
    </row>
    <row r="246">
      <c r="A246" s="4">
        <v>2.320127002E9</v>
      </c>
      <c r="B246" s="5">
        <v>42500.0</v>
      </c>
      <c r="C246" s="4">
        <v>6227.0</v>
      </c>
      <c r="D246" s="4">
        <v>4.19999980926514</v>
      </c>
      <c r="E246" s="4">
        <v>4.19999980926514</v>
      </c>
      <c r="F246" s="4">
        <v>0.0</v>
      </c>
      <c r="G246" s="4">
        <v>0.0</v>
      </c>
      <c r="H246" s="4">
        <v>0.0</v>
      </c>
      <c r="I246" s="4">
        <v>4.19999980926514</v>
      </c>
      <c r="J246" s="4">
        <v>0.0</v>
      </c>
      <c r="K246" s="4">
        <v>0.0</v>
      </c>
      <c r="L246" s="4">
        <v>0.0</v>
      </c>
      <c r="M246" s="4">
        <v>290.0</v>
      </c>
      <c r="N246" s="4">
        <v>1150.0</v>
      </c>
      <c r="O246" s="4">
        <v>1899.0</v>
      </c>
    </row>
    <row r="247">
      <c r="A247" s="4">
        <v>2.320127002E9</v>
      </c>
      <c r="B247" s="5">
        <v>42501.0</v>
      </c>
      <c r="C247" s="4">
        <v>6424.0</v>
      </c>
      <c r="D247" s="4">
        <v>4.32999992370605</v>
      </c>
      <c r="E247" s="4">
        <v>4.32999992370605</v>
      </c>
      <c r="F247" s="4">
        <v>0.0</v>
      </c>
      <c r="G247" s="4">
        <v>0.0</v>
      </c>
      <c r="H247" s="4">
        <v>0.0</v>
      </c>
      <c r="I247" s="4">
        <v>4.32999992370605</v>
      </c>
      <c r="J247" s="4">
        <v>0.0</v>
      </c>
      <c r="K247" s="4">
        <v>0.0</v>
      </c>
      <c r="L247" s="4">
        <v>0.0</v>
      </c>
      <c r="M247" s="4">
        <v>300.0</v>
      </c>
      <c r="N247" s="4">
        <v>1140.0</v>
      </c>
      <c r="O247" s="4">
        <v>1903.0</v>
      </c>
    </row>
    <row r="248">
      <c r="A248" s="4">
        <v>2.320127002E9</v>
      </c>
      <c r="B248" s="5">
        <v>42502.0</v>
      </c>
      <c r="C248" s="4">
        <v>2661.0</v>
      </c>
      <c r="D248" s="4">
        <v>1.78999996185303</v>
      </c>
      <c r="E248" s="4">
        <v>1.78999996185303</v>
      </c>
      <c r="F248" s="4">
        <v>0.0</v>
      </c>
      <c r="G248" s="4">
        <v>0.0</v>
      </c>
      <c r="H248" s="4">
        <v>0.0</v>
      </c>
      <c r="I248" s="4">
        <v>1.78999996185303</v>
      </c>
      <c r="J248" s="4">
        <v>0.0</v>
      </c>
      <c r="K248" s="4">
        <v>0.0</v>
      </c>
      <c r="L248" s="4">
        <v>0.0</v>
      </c>
      <c r="M248" s="4">
        <v>128.0</v>
      </c>
      <c r="N248" s="4">
        <v>830.0</v>
      </c>
      <c r="O248" s="4">
        <v>1125.0</v>
      </c>
    </row>
    <row r="249">
      <c r="A249" s="4">
        <v>2.347167796E9</v>
      </c>
      <c r="B249" s="5">
        <v>42472.0</v>
      </c>
      <c r="C249" s="4">
        <v>10113.0</v>
      </c>
      <c r="D249" s="4">
        <v>6.82999992370605</v>
      </c>
      <c r="E249" s="4">
        <v>6.82999992370605</v>
      </c>
      <c r="F249" s="4">
        <v>0.0</v>
      </c>
      <c r="G249" s="4">
        <v>2.0</v>
      </c>
      <c r="H249" s="4">
        <v>0.620000004768372</v>
      </c>
      <c r="I249" s="4">
        <v>4.19999980926514</v>
      </c>
      <c r="J249" s="4">
        <v>0.0</v>
      </c>
      <c r="K249" s="4">
        <v>28.0</v>
      </c>
      <c r="L249" s="4">
        <v>13.0</v>
      </c>
      <c r="M249" s="4">
        <v>320.0</v>
      </c>
      <c r="N249" s="4">
        <v>964.0</v>
      </c>
      <c r="O249" s="4">
        <v>2344.0</v>
      </c>
    </row>
    <row r="250">
      <c r="A250" s="4">
        <v>2.347167796E9</v>
      </c>
      <c r="B250" s="5">
        <v>42473.0</v>
      </c>
      <c r="C250" s="4">
        <v>10352.0</v>
      </c>
      <c r="D250" s="4">
        <v>7.01000022888184</v>
      </c>
      <c r="E250" s="4">
        <v>7.01000022888184</v>
      </c>
      <c r="F250" s="4">
        <v>0.0</v>
      </c>
      <c r="G250" s="4">
        <v>1.6599999666214</v>
      </c>
      <c r="H250" s="4">
        <v>1.94000005722046</v>
      </c>
      <c r="I250" s="4">
        <v>3.41000008583069</v>
      </c>
      <c r="J250" s="4">
        <v>0.0</v>
      </c>
      <c r="K250" s="4">
        <v>19.0</v>
      </c>
      <c r="L250" s="4">
        <v>32.0</v>
      </c>
      <c r="M250" s="4">
        <v>195.0</v>
      </c>
      <c r="N250" s="4">
        <v>676.0</v>
      </c>
      <c r="O250" s="4">
        <v>2038.0</v>
      </c>
    </row>
    <row r="251">
      <c r="A251" s="4">
        <v>2.347167796E9</v>
      </c>
      <c r="B251" s="5">
        <v>42474.0</v>
      </c>
      <c r="C251" s="4">
        <v>10129.0</v>
      </c>
      <c r="D251" s="4">
        <v>6.69999980926514</v>
      </c>
      <c r="E251" s="4">
        <v>6.69999980926514</v>
      </c>
      <c r="F251" s="4">
        <v>0.0</v>
      </c>
      <c r="G251" s="4">
        <v>0.0199999995529652</v>
      </c>
      <c r="H251" s="4">
        <v>2.74000000953674</v>
      </c>
      <c r="I251" s="4">
        <v>3.94000005722046</v>
      </c>
      <c r="J251" s="4">
        <v>0.0</v>
      </c>
      <c r="K251" s="4">
        <v>1.0</v>
      </c>
      <c r="L251" s="4">
        <v>48.0</v>
      </c>
      <c r="M251" s="4">
        <v>206.0</v>
      </c>
      <c r="N251" s="4">
        <v>705.0</v>
      </c>
      <c r="O251" s="4">
        <v>2010.0</v>
      </c>
    </row>
    <row r="252">
      <c r="A252" s="4">
        <v>2.347167796E9</v>
      </c>
      <c r="B252" s="5">
        <v>42475.0</v>
      </c>
      <c r="C252" s="4">
        <v>10465.0</v>
      </c>
      <c r="D252" s="4">
        <v>6.92000007629395</v>
      </c>
      <c r="E252" s="4">
        <v>6.92000007629395</v>
      </c>
      <c r="F252" s="4">
        <v>0.0</v>
      </c>
      <c r="G252" s="4">
        <v>0.0700000002980232</v>
      </c>
      <c r="H252" s="4">
        <v>1.41999995708466</v>
      </c>
      <c r="I252" s="4">
        <v>5.42999982833862</v>
      </c>
      <c r="J252" s="4">
        <v>0.0</v>
      </c>
      <c r="K252" s="4">
        <v>1.0</v>
      </c>
      <c r="L252" s="4">
        <v>24.0</v>
      </c>
      <c r="M252" s="4">
        <v>284.0</v>
      </c>
      <c r="N252" s="4">
        <v>720.0</v>
      </c>
      <c r="O252" s="4">
        <v>2133.0</v>
      </c>
    </row>
    <row r="253">
      <c r="A253" s="4">
        <v>2.347167796E9</v>
      </c>
      <c r="B253" s="5">
        <v>42476.0</v>
      </c>
      <c r="C253" s="4">
        <v>22244.0</v>
      </c>
      <c r="D253" s="4">
        <v>15.0799999237061</v>
      </c>
      <c r="E253" s="4">
        <v>15.0799999237061</v>
      </c>
      <c r="F253" s="4">
        <v>0.0</v>
      </c>
      <c r="G253" s="4">
        <v>5.44999980926514</v>
      </c>
      <c r="H253" s="4">
        <v>4.09999990463257</v>
      </c>
      <c r="I253" s="4">
        <v>5.53000020980835</v>
      </c>
      <c r="J253" s="4">
        <v>0.0</v>
      </c>
      <c r="K253" s="4">
        <v>66.0</v>
      </c>
      <c r="L253" s="4">
        <v>72.0</v>
      </c>
      <c r="M253" s="4">
        <v>268.0</v>
      </c>
      <c r="N253" s="4">
        <v>968.0</v>
      </c>
      <c r="O253" s="4">
        <v>2670.0</v>
      </c>
    </row>
    <row r="254">
      <c r="A254" s="4">
        <v>2.347167796E9</v>
      </c>
      <c r="B254" s="5">
        <v>42477.0</v>
      </c>
      <c r="C254" s="4">
        <v>5472.0</v>
      </c>
      <c r="D254" s="4">
        <v>3.61999988555908</v>
      </c>
      <c r="E254" s="4">
        <v>3.61999988555908</v>
      </c>
      <c r="F254" s="4">
        <v>0.0</v>
      </c>
      <c r="G254" s="4">
        <v>0.0799999982118607</v>
      </c>
      <c r="H254" s="4">
        <v>0.280000001192093</v>
      </c>
      <c r="I254" s="4">
        <v>3.25999999046326</v>
      </c>
      <c r="J254" s="4">
        <v>0.0</v>
      </c>
      <c r="K254" s="4">
        <v>1.0</v>
      </c>
      <c r="L254" s="4">
        <v>7.0</v>
      </c>
      <c r="M254" s="4">
        <v>249.0</v>
      </c>
      <c r="N254" s="4">
        <v>508.0</v>
      </c>
      <c r="O254" s="4">
        <v>1882.0</v>
      </c>
    </row>
    <row r="255">
      <c r="A255" s="4">
        <v>2.347167796E9</v>
      </c>
      <c r="B255" s="5">
        <v>42478.0</v>
      </c>
      <c r="C255" s="4">
        <v>8247.0</v>
      </c>
      <c r="D255" s="4">
        <v>5.44999980926514</v>
      </c>
      <c r="E255" s="4">
        <v>5.44999980926514</v>
      </c>
      <c r="F255" s="4">
        <v>0.0</v>
      </c>
      <c r="G255" s="4">
        <v>0.790000021457672</v>
      </c>
      <c r="H255" s="4">
        <v>0.860000014305115</v>
      </c>
      <c r="I255" s="4">
        <v>3.78999996185303</v>
      </c>
      <c r="J255" s="4">
        <v>0.0</v>
      </c>
      <c r="K255" s="4">
        <v>11.0</v>
      </c>
      <c r="L255" s="4">
        <v>16.0</v>
      </c>
      <c r="M255" s="4">
        <v>206.0</v>
      </c>
      <c r="N255" s="4">
        <v>678.0</v>
      </c>
      <c r="O255" s="4">
        <v>1944.0</v>
      </c>
    </row>
    <row r="256">
      <c r="A256" s="4">
        <v>2.347167796E9</v>
      </c>
      <c r="B256" s="5">
        <v>42479.0</v>
      </c>
      <c r="C256" s="4">
        <v>6711.0</v>
      </c>
      <c r="D256" s="4">
        <v>4.44000005722046</v>
      </c>
      <c r="E256" s="4">
        <v>4.44000005722046</v>
      </c>
      <c r="F256" s="4">
        <v>0.0</v>
      </c>
      <c r="G256" s="4">
        <v>0.0</v>
      </c>
      <c r="H256" s="4">
        <v>0.0</v>
      </c>
      <c r="I256" s="4">
        <v>4.44000005722046</v>
      </c>
      <c r="J256" s="4">
        <v>0.0</v>
      </c>
      <c r="K256" s="4">
        <v>0.0</v>
      </c>
      <c r="L256" s="4">
        <v>7.0</v>
      </c>
      <c r="M256" s="4">
        <v>382.0</v>
      </c>
      <c r="N256" s="4">
        <v>648.0</v>
      </c>
      <c r="O256" s="4">
        <v>2346.0</v>
      </c>
    </row>
    <row r="257">
      <c r="A257" s="4">
        <v>2.347167796E9</v>
      </c>
      <c r="B257" s="5">
        <v>42480.0</v>
      </c>
      <c r="C257" s="4">
        <v>10999.0</v>
      </c>
      <c r="D257" s="4">
        <v>7.26999998092651</v>
      </c>
      <c r="E257" s="4">
        <v>7.26999998092651</v>
      </c>
      <c r="F257" s="4">
        <v>0.0</v>
      </c>
      <c r="G257" s="4">
        <v>0.680000007152557</v>
      </c>
      <c r="H257" s="4">
        <v>1.80999994277954</v>
      </c>
      <c r="I257" s="4">
        <v>4.78000020980835</v>
      </c>
      <c r="J257" s="4">
        <v>0.0</v>
      </c>
      <c r="K257" s="4">
        <v>11.0</v>
      </c>
      <c r="L257" s="4">
        <v>43.0</v>
      </c>
      <c r="M257" s="4">
        <v>269.0</v>
      </c>
      <c r="N257" s="4">
        <v>1011.0</v>
      </c>
      <c r="O257" s="4">
        <v>2198.0</v>
      </c>
    </row>
    <row r="258">
      <c r="A258" s="4">
        <v>2.347167796E9</v>
      </c>
      <c r="B258" s="5">
        <v>42481.0</v>
      </c>
      <c r="C258" s="4">
        <v>10080.0</v>
      </c>
      <c r="D258" s="4">
        <v>6.75</v>
      </c>
      <c r="E258" s="4">
        <v>6.75</v>
      </c>
      <c r="F258" s="4">
        <v>0.0</v>
      </c>
      <c r="G258" s="4">
        <v>1.85000002384186</v>
      </c>
      <c r="H258" s="4">
        <v>1.52999997138977</v>
      </c>
      <c r="I258" s="4">
        <v>3.38000011444092</v>
      </c>
      <c r="J258" s="4">
        <v>0.0</v>
      </c>
      <c r="K258" s="4">
        <v>23.0</v>
      </c>
      <c r="L258" s="4">
        <v>26.0</v>
      </c>
      <c r="M258" s="4">
        <v>208.0</v>
      </c>
      <c r="N258" s="4">
        <v>761.0</v>
      </c>
      <c r="O258" s="4">
        <v>2048.0</v>
      </c>
    </row>
    <row r="259">
      <c r="A259" s="4">
        <v>2.347167796E9</v>
      </c>
      <c r="B259" s="5">
        <v>42482.0</v>
      </c>
      <c r="C259" s="4">
        <v>7804.0</v>
      </c>
      <c r="D259" s="4">
        <v>5.15999984741211</v>
      </c>
      <c r="E259" s="4">
        <v>5.15999984741211</v>
      </c>
      <c r="F259" s="4">
        <v>0.0</v>
      </c>
      <c r="G259" s="4">
        <v>0.560000002384186</v>
      </c>
      <c r="H259" s="4">
        <v>1.67999994754791</v>
      </c>
      <c r="I259" s="4">
        <v>2.92000007629395</v>
      </c>
      <c r="J259" s="4">
        <v>0.0</v>
      </c>
      <c r="K259" s="4">
        <v>9.0</v>
      </c>
      <c r="L259" s="4">
        <v>27.0</v>
      </c>
      <c r="M259" s="4">
        <v>206.0</v>
      </c>
      <c r="N259" s="4">
        <v>781.0</v>
      </c>
      <c r="O259" s="4">
        <v>1946.0</v>
      </c>
    </row>
    <row r="260">
      <c r="A260" s="4">
        <v>2.347167796E9</v>
      </c>
      <c r="B260" s="5">
        <v>42483.0</v>
      </c>
      <c r="C260" s="4">
        <v>16901.0</v>
      </c>
      <c r="D260" s="4">
        <v>11.3699998855591</v>
      </c>
      <c r="E260" s="4">
        <v>11.3699998855591</v>
      </c>
      <c r="F260" s="4">
        <v>0.0</v>
      </c>
      <c r="G260" s="4">
        <v>2.77999997138977</v>
      </c>
      <c r="H260" s="4">
        <v>1.45000004768372</v>
      </c>
      <c r="I260" s="4">
        <v>7.15000009536743</v>
      </c>
      <c r="J260" s="4">
        <v>0.0</v>
      </c>
      <c r="K260" s="4">
        <v>32.0</v>
      </c>
      <c r="L260" s="4">
        <v>35.0</v>
      </c>
      <c r="M260" s="4">
        <v>360.0</v>
      </c>
      <c r="N260" s="4">
        <v>591.0</v>
      </c>
      <c r="O260" s="4">
        <v>2629.0</v>
      </c>
    </row>
    <row r="261">
      <c r="A261" s="4">
        <v>2.347167796E9</v>
      </c>
      <c r="B261" s="5">
        <v>42484.0</v>
      </c>
      <c r="C261" s="4">
        <v>9471.0</v>
      </c>
      <c r="D261" s="4">
        <v>6.26000022888184</v>
      </c>
      <c r="E261" s="4">
        <v>6.26000022888184</v>
      </c>
      <c r="F261" s="4">
        <v>0.0</v>
      </c>
      <c r="G261" s="4">
        <v>0.0</v>
      </c>
      <c r="H261" s="4">
        <v>0.0</v>
      </c>
      <c r="I261" s="4">
        <v>6.26000022888184</v>
      </c>
      <c r="J261" s="4">
        <v>0.0</v>
      </c>
      <c r="K261" s="4">
        <v>0.0</v>
      </c>
      <c r="L261" s="4">
        <v>0.0</v>
      </c>
      <c r="M261" s="4">
        <v>360.0</v>
      </c>
      <c r="N261" s="4">
        <v>584.0</v>
      </c>
      <c r="O261" s="4">
        <v>2187.0</v>
      </c>
    </row>
    <row r="262">
      <c r="A262" s="4">
        <v>2.347167796E9</v>
      </c>
      <c r="B262" s="5">
        <v>42485.0</v>
      </c>
      <c r="C262" s="4">
        <v>9482.0</v>
      </c>
      <c r="D262" s="4">
        <v>6.38000011444092</v>
      </c>
      <c r="E262" s="4">
        <v>6.38000011444092</v>
      </c>
      <c r="F262" s="4">
        <v>0.0</v>
      </c>
      <c r="G262" s="4">
        <v>1.26999998092651</v>
      </c>
      <c r="H262" s="4">
        <v>0.519999980926514</v>
      </c>
      <c r="I262" s="4">
        <v>4.59999990463257</v>
      </c>
      <c r="J262" s="4">
        <v>0.0</v>
      </c>
      <c r="K262" s="4">
        <v>15.0</v>
      </c>
      <c r="L262" s="4">
        <v>11.0</v>
      </c>
      <c r="M262" s="4">
        <v>277.0</v>
      </c>
      <c r="N262" s="4">
        <v>653.0</v>
      </c>
      <c r="O262" s="4">
        <v>2095.0</v>
      </c>
    </row>
    <row r="263">
      <c r="A263" s="4">
        <v>2.347167796E9</v>
      </c>
      <c r="B263" s="5">
        <v>42486.0</v>
      </c>
      <c r="C263" s="4">
        <v>5980.0</v>
      </c>
      <c r="D263" s="4">
        <v>3.95000004768372</v>
      </c>
      <c r="E263" s="4">
        <v>3.95000004768372</v>
      </c>
      <c r="F263" s="4">
        <v>0.0</v>
      </c>
      <c r="G263" s="4">
        <v>0.0</v>
      </c>
      <c r="H263" s="4">
        <v>0.0</v>
      </c>
      <c r="I263" s="4">
        <v>3.95000004768372</v>
      </c>
      <c r="J263" s="4">
        <v>0.0</v>
      </c>
      <c r="K263" s="4">
        <v>0.0</v>
      </c>
      <c r="L263" s="4">
        <v>0.0</v>
      </c>
      <c r="M263" s="4">
        <v>227.0</v>
      </c>
      <c r="N263" s="4">
        <v>732.0</v>
      </c>
      <c r="O263" s="4">
        <v>1861.0</v>
      </c>
    </row>
    <row r="264">
      <c r="A264" s="4">
        <v>2.347167796E9</v>
      </c>
      <c r="B264" s="5">
        <v>42487.0</v>
      </c>
      <c r="C264" s="4">
        <v>11423.0</v>
      </c>
      <c r="D264" s="4">
        <v>7.57999992370605</v>
      </c>
      <c r="E264" s="4">
        <v>7.57999992370605</v>
      </c>
      <c r="F264" s="4">
        <v>0.0</v>
      </c>
      <c r="G264" s="4">
        <v>1.86000001430511</v>
      </c>
      <c r="H264" s="4">
        <v>0.400000005960464</v>
      </c>
      <c r="I264" s="4">
        <v>5.32000017166138</v>
      </c>
      <c r="J264" s="4">
        <v>0.0</v>
      </c>
      <c r="K264" s="4">
        <v>26.0</v>
      </c>
      <c r="L264" s="4">
        <v>9.0</v>
      </c>
      <c r="M264" s="4">
        <v>295.0</v>
      </c>
      <c r="N264" s="4">
        <v>623.0</v>
      </c>
      <c r="O264" s="4">
        <v>2194.0</v>
      </c>
    </row>
    <row r="265">
      <c r="A265" s="4">
        <v>2.347167796E9</v>
      </c>
      <c r="B265" s="5">
        <v>42488.0</v>
      </c>
      <c r="C265" s="4">
        <v>5439.0</v>
      </c>
      <c r="D265" s="4">
        <v>3.59999990463257</v>
      </c>
      <c r="E265" s="4">
        <v>3.59999990463257</v>
      </c>
      <c r="F265" s="4">
        <v>0.0</v>
      </c>
      <c r="G265" s="4">
        <v>0.0</v>
      </c>
      <c r="H265" s="4">
        <v>0.0</v>
      </c>
      <c r="I265" s="4">
        <v>3.59999990463257</v>
      </c>
      <c r="J265" s="4">
        <v>0.0</v>
      </c>
      <c r="K265" s="4">
        <v>0.0</v>
      </c>
      <c r="L265" s="4">
        <v>0.0</v>
      </c>
      <c r="M265" s="4">
        <v>229.0</v>
      </c>
      <c r="N265" s="4">
        <v>764.0</v>
      </c>
      <c r="O265" s="4">
        <v>1854.0</v>
      </c>
    </row>
    <row r="266">
      <c r="A266" s="4">
        <v>2.347167796E9</v>
      </c>
      <c r="B266" s="5">
        <v>42489.0</v>
      </c>
      <c r="C266" s="4">
        <v>42.0</v>
      </c>
      <c r="D266" s="4">
        <v>0.0299999993294477</v>
      </c>
      <c r="E266" s="4">
        <v>0.0299999993294477</v>
      </c>
      <c r="F266" s="4">
        <v>0.0</v>
      </c>
      <c r="G266" s="4">
        <v>0.0</v>
      </c>
      <c r="H266" s="4">
        <v>0.0</v>
      </c>
      <c r="I266" s="4">
        <v>0.0299999993294477</v>
      </c>
      <c r="J266" s="4">
        <v>0.0</v>
      </c>
      <c r="K266" s="4">
        <v>0.0</v>
      </c>
      <c r="L266" s="4">
        <v>0.0</v>
      </c>
      <c r="M266" s="4">
        <v>4.0</v>
      </c>
      <c r="N266" s="4">
        <v>2.0</v>
      </c>
      <c r="O266" s="4">
        <v>403.0</v>
      </c>
    </row>
    <row r="267">
      <c r="A267" s="4">
        <v>2.873212765E9</v>
      </c>
      <c r="B267" s="5">
        <v>42472.0</v>
      </c>
      <c r="C267" s="4">
        <v>8796.0</v>
      </c>
      <c r="D267" s="4">
        <v>5.90999984741211</v>
      </c>
      <c r="E267" s="4">
        <v>5.90999984741211</v>
      </c>
      <c r="F267" s="4">
        <v>0.0</v>
      </c>
      <c r="G267" s="4">
        <v>0.109999999403954</v>
      </c>
      <c r="H267" s="4">
        <v>0.930000007152557</v>
      </c>
      <c r="I267" s="4">
        <v>4.88000011444092</v>
      </c>
      <c r="J267" s="4">
        <v>0.0</v>
      </c>
      <c r="K267" s="4">
        <v>2.0</v>
      </c>
      <c r="L267" s="4">
        <v>21.0</v>
      </c>
      <c r="M267" s="4">
        <v>356.0</v>
      </c>
      <c r="N267" s="4">
        <v>1061.0</v>
      </c>
      <c r="O267" s="4">
        <v>1982.0</v>
      </c>
    </row>
    <row r="268">
      <c r="A268" s="4">
        <v>2.873212765E9</v>
      </c>
      <c r="B268" s="5">
        <v>42473.0</v>
      </c>
      <c r="C268" s="4">
        <v>7618.0</v>
      </c>
      <c r="D268" s="4">
        <v>5.11999988555908</v>
      </c>
      <c r="E268" s="4">
        <v>5.11999988555908</v>
      </c>
      <c r="F268" s="4">
        <v>0.0</v>
      </c>
      <c r="G268" s="4">
        <v>0.0</v>
      </c>
      <c r="H268" s="4">
        <v>0.219999998807907</v>
      </c>
      <c r="I268" s="4">
        <v>4.88000011444092</v>
      </c>
      <c r="J268" s="4">
        <v>0.0199999995529652</v>
      </c>
      <c r="K268" s="4">
        <v>0.0</v>
      </c>
      <c r="L268" s="4">
        <v>8.0</v>
      </c>
      <c r="M268" s="4">
        <v>404.0</v>
      </c>
      <c r="N268" s="4">
        <v>1028.0</v>
      </c>
      <c r="O268" s="4">
        <v>2004.0</v>
      </c>
    </row>
    <row r="269">
      <c r="A269" s="4">
        <v>2.873212765E9</v>
      </c>
      <c r="B269" s="5">
        <v>42474.0</v>
      </c>
      <c r="C269" s="4">
        <v>7910.0</v>
      </c>
      <c r="D269" s="4">
        <v>5.32000017166138</v>
      </c>
      <c r="E269" s="4">
        <v>5.32000017166138</v>
      </c>
      <c r="F269" s="4">
        <v>0.0</v>
      </c>
      <c r="G269" s="4">
        <v>0.0</v>
      </c>
      <c r="H269" s="4">
        <v>0.0</v>
      </c>
      <c r="I269" s="4">
        <v>5.32000017166138</v>
      </c>
      <c r="J269" s="4">
        <v>0.0</v>
      </c>
      <c r="K269" s="4">
        <v>0.0</v>
      </c>
      <c r="L269" s="4">
        <v>0.0</v>
      </c>
      <c r="M269" s="4">
        <v>331.0</v>
      </c>
      <c r="N269" s="4">
        <v>1109.0</v>
      </c>
      <c r="O269" s="4">
        <v>1893.0</v>
      </c>
    </row>
    <row r="270">
      <c r="A270" s="4">
        <v>2.873212765E9</v>
      </c>
      <c r="B270" s="5">
        <v>42475.0</v>
      </c>
      <c r="C270" s="4">
        <v>8482.0</v>
      </c>
      <c r="D270" s="4">
        <v>5.69999980926514</v>
      </c>
      <c r="E270" s="4">
        <v>5.69999980926514</v>
      </c>
      <c r="F270" s="4">
        <v>0.0</v>
      </c>
      <c r="G270" s="4">
        <v>0.0</v>
      </c>
      <c r="H270" s="4">
        <v>0.0</v>
      </c>
      <c r="I270" s="4">
        <v>5.69000005722046</v>
      </c>
      <c r="J270" s="4">
        <v>0.00999999977648258</v>
      </c>
      <c r="K270" s="4">
        <v>0.0</v>
      </c>
      <c r="L270" s="4">
        <v>0.0</v>
      </c>
      <c r="M270" s="4">
        <v>448.0</v>
      </c>
      <c r="N270" s="4">
        <v>992.0</v>
      </c>
      <c r="O270" s="4">
        <v>2063.0</v>
      </c>
    </row>
    <row r="271">
      <c r="A271" s="4">
        <v>2.873212765E9</v>
      </c>
      <c r="B271" s="5">
        <v>42476.0</v>
      </c>
      <c r="C271" s="4">
        <v>9685.0</v>
      </c>
      <c r="D271" s="4">
        <v>6.65000009536743</v>
      </c>
      <c r="E271" s="4">
        <v>6.65000009536743</v>
      </c>
      <c r="F271" s="4">
        <v>0.0</v>
      </c>
      <c r="G271" s="4">
        <v>3.10999989509583</v>
      </c>
      <c r="H271" s="4">
        <v>0.0199999995529652</v>
      </c>
      <c r="I271" s="4">
        <v>3.50999999046326</v>
      </c>
      <c r="J271" s="4">
        <v>0.00999999977648258</v>
      </c>
      <c r="K271" s="4">
        <v>47.0</v>
      </c>
      <c r="L271" s="4">
        <v>1.0</v>
      </c>
      <c r="M271" s="4">
        <v>305.0</v>
      </c>
      <c r="N271" s="4">
        <v>1087.0</v>
      </c>
      <c r="O271" s="4">
        <v>2148.0</v>
      </c>
    </row>
    <row r="272">
      <c r="A272" s="4">
        <v>2.873212765E9</v>
      </c>
      <c r="B272" s="5">
        <v>42477.0</v>
      </c>
      <c r="C272" s="4">
        <v>2524.0</v>
      </c>
      <c r="D272" s="4">
        <v>1.70000004768372</v>
      </c>
      <c r="E272" s="4">
        <v>1.70000004768372</v>
      </c>
      <c r="F272" s="4">
        <v>0.0</v>
      </c>
      <c r="G272" s="4">
        <v>0.0</v>
      </c>
      <c r="H272" s="4">
        <v>0.349999994039536</v>
      </c>
      <c r="I272" s="4">
        <v>1.3400000333786</v>
      </c>
      <c r="J272" s="4">
        <v>0.0</v>
      </c>
      <c r="K272" s="4">
        <v>0.0</v>
      </c>
      <c r="L272" s="4">
        <v>8.0</v>
      </c>
      <c r="M272" s="4">
        <v>160.0</v>
      </c>
      <c r="N272" s="4">
        <v>1272.0</v>
      </c>
      <c r="O272" s="4">
        <v>1529.0</v>
      </c>
    </row>
    <row r="273">
      <c r="A273" s="4">
        <v>2.873212765E9</v>
      </c>
      <c r="B273" s="5">
        <v>42478.0</v>
      </c>
      <c r="C273" s="4">
        <v>7762.0</v>
      </c>
      <c r="D273" s="4">
        <v>5.23999977111816</v>
      </c>
      <c r="E273" s="4">
        <v>5.23999977111816</v>
      </c>
      <c r="F273" s="4">
        <v>0.0</v>
      </c>
      <c r="G273" s="4">
        <v>0.0700000002980232</v>
      </c>
      <c r="H273" s="4">
        <v>0.280000001192093</v>
      </c>
      <c r="I273" s="4">
        <v>4.8899998664856</v>
      </c>
      <c r="J273" s="4">
        <v>0.0</v>
      </c>
      <c r="K273" s="4">
        <v>1.0</v>
      </c>
      <c r="L273" s="4">
        <v>6.0</v>
      </c>
      <c r="M273" s="4">
        <v>311.0</v>
      </c>
      <c r="N273" s="4">
        <v>1122.0</v>
      </c>
      <c r="O273" s="4">
        <v>1890.0</v>
      </c>
    </row>
    <row r="274">
      <c r="A274" s="4">
        <v>2.873212765E9</v>
      </c>
      <c r="B274" s="5">
        <v>42479.0</v>
      </c>
      <c r="C274" s="4">
        <v>7948.0</v>
      </c>
      <c r="D274" s="4">
        <v>5.36999988555908</v>
      </c>
      <c r="E274" s="4">
        <v>5.36999988555908</v>
      </c>
      <c r="F274" s="4">
        <v>0.0</v>
      </c>
      <c r="G274" s="4">
        <v>0.0</v>
      </c>
      <c r="H274" s="4">
        <v>0.0</v>
      </c>
      <c r="I274" s="4">
        <v>5.3600001335144</v>
      </c>
      <c r="J274" s="4">
        <v>0.0</v>
      </c>
      <c r="K274" s="4">
        <v>0.0</v>
      </c>
      <c r="L274" s="4">
        <v>0.0</v>
      </c>
      <c r="M274" s="4">
        <v>389.0</v>
      </c>
      <c r="N274" s="4">
        <v>1051.0</v>
      </c>
      <c r="O274" s="4">
        <v>1956.0</v>
      </c>
    </row>
    <row r="275">
      <c r="A275" s="4">
        <v>2.873212765E9</v>
      </c>
      <c r="B275" s="5">
        <v>42480.0</v>
      </c>
      <c r="C275" s="4">
        <v>9202.0</v>
      </c>
      <c r="D275" s="4">
        <v>6.30000019073486</v>
      </c>
      <c r="E275" s="4">
        <v>6.30000019073486</v>
      </c>
      <c r="F275" s="4">
        <v>0.0</v>
      </c>
      <c r="G275" s="4">
        <v>1.50999999046326</v>
      </c>
      <c r="H275" s="4">
        <v>0.119999997317791</v>
      </c>
      <c r="I275" s="4">
        <v>4.65999984741211</v>
      </c>
      <c r="J275" s="4">
        <v>0.00999999977648258</v>
      </c>
      <c r="K275" s="4">
        <v>22.0</v>
      </c>
      <c r="L275" s="4">
        <v>5.0</v>
      </c>
      <c r="M275" s="4">
        <v>378.0</v>
      </c>
      <c r="N275" s="4">
        <v>1035.0</v>
      </c>
      <c r="O275" s="4">
        <v>2094.0</v>
      </c>
    </row>
    <row r="276">
      <c r="A276" s="4">
        <v>2.873212765E9</v>
      </c>
      <c r="B276" s="5">
        <v>42481.0</v>
      </c>
      <c r="C276" s="4">
        <v>8859.0</v>
      </c>
      <c r="D276" s="4">
        <v>5.98000001907349</v>
      </c>
      <c r="E276" s="4">
        <v>5.98000001907349</v>
      </c>
      <c r="F276" s="4">
        <v>0.0</v>
      </c>
      <c r="G276" s="4">
        <v>0.129999995231628</v>
      </c>
      <c r="H276" s="4">
        <v>0.370000004768372</v>
      </c>
      <c r="I276" s="4">
        <v>5.46999979019165</v>
      </c>
      <c r="J276" s="4">
        <v>0.00999999977648258</v>
      </c>
      <c r="K276" s="4">
        <v>2.0</v>
      </c>
      <c r="L276" s="4">
        <v>10.0</v>
      </c>
      <c r="M276" s="4">
        <v>371.0</v>
      </c>
      <c r="N276" s="4">
        <v>1057.0</v>
      </c>
      <c r="O276" s="4">
        <v>1970.0</v>
      </c>
    </row>
    <row r="277">
      <c r="A277" s="4">
        <v>2.873212765E9</v>
      </c>
      <c r="B277" s="5">
        <v>42482.0</v>
      </c>
      <c r="C277" s="4">
        <v>7286.0</v>
      </c>
      <c r="D277" s="4">
        <v>4.90000009536743</v>
      </c>
      <c r="E277" s="4">
        <v>4.90000009536743</v>
      </c>
      <c r="F277" s="4">
        <v>0.0</v>
      </c>
      <c r="G277" s="4">
        <v>0.46000000834465</v>
      </c>
      <c r="H277" s="4">
        <v>0.0</v>
      </c>
      <c r="I277" s="4">
        <v>4.42000007629395</v>
      </c>
      <c r="J277" s="4">
        <v>0.0199999995529652</v>
      </c>
      <c r="K277" s="4">
        <v>46.0</v>
      </c>
      <c r="L277" s="4">
        <v>0.0</v>
      </c>
      <c r="M277" s="4">
        <v>366.0</v>
      </c>
      <c r="N277" s="4">
        <v>1028.0</v>
      </c>
      <c r="O277" s="4">
        <v>2241.0</v>
      </c>
    </row>
    <row r="278">
      <c r="A278" s="4">
        <v>2.873212765E9</v>
      </c>
      <c r="B278" s="5">
        <v>42483.0</v>
      </c>
      <c r="C278" s="4">
        <v>9317.0</v>
      </c>
      <c r="D278" s="4">
        <v>6.34999990463257</v>
      </c>
      <c r="E278" s="4">
        <v>6.34999990463257</v>
      </c>
      <c r="F278" s="4">
        <v>0.0</v>
      </c>
      <c r="G278" s="4">
        <v>2.08999991416931</v>
      </c>
      <c r="H278" s="4">
        <v>0.230000004172325</v>
      </c>
      <c r="I278" s="4">
        <v>4.01999998092651</v>
      </c>
      <c r="J278" s="4">
        <v>0.00999999977648258</v>
      </c>
      <c r="K278" s="4">
        <v>28.0</v>
      </c>
      <c r="L278" s="4">
        <v>5.0</v>
      </c>
      <c r="M278" s="4">
        <v>330.0</v>
      </c>
      <c r="N278" s="4">
        <v>1077.0</v>
      </c>
      <c r="O278" s="4">
        <v>2021.0</v>
      </c>
    </row>
    <row r="279">
      <c r="A279" s="4">
        <v>2.873212765E9</v>
      </c>
      <c r="B279" s="5">
        <v>42484.0</v>
      </c>
      <c r="C279" s="4">
        <v>6873.0</v>
      </c>
      <c r="D279" s="4">
        <v>4.67999982833862</v>
      </c>
      <c r="E279" s="4">
        <v>4.67999982833862</v>
      </c>
      <c r="F279" s="4">
        <v>0.0</v>
      </c>
      <c r="G279" s="4">
        <v>3.0</v>
      </c>
      <c r="H279" s="4">
        <v>0.0599999986588955</v>
      </c>
      <c r="I279" s="4">
        <v>1.62000000476837</v>
      </c>
      <c r="J279" s="4">
        <v>0.0</v>
      </c>
      <c r="K279" s="4">
        <v>46.0</v>
      </c>
      <c r="L279" s="4">
        <v>1.0</v>
      </c>
      <c r="M279" s="4">
        <v>190.0</v>
      </c>
      <c r="N279" s="4">
        <v>1203.0</v>
      </c>
      <c r="O279" s="4">
        <v>1898.0</v>
      </c>
    </row>
    <row r="280">
      <c r="A280" s="4">
        <v>2.873212765E9</v>
      </c>
      <c r="B280" s="5">
        <v>42485.0</v>
      </c>
      <c r="C280" s="4">
        <v>7373.0</v>
      </c>
      <c r="D280" s="4">
        <v>4.94999980926514</v>
      </c>
      <c r="E280" s="4">
        <v>4.94999980926514</v>
      </c>
      <c r="F280" s="4">
        <v>0.0</v>
      </c>
      <c r="G280" s="4">
        <v>0.0</v>
      </c>
      <c r="H280" s="4">
        <v>0.0</v>
      </c>
      <c r="I280" s="4">
        <v>4.94999980926514</v>
      </c>
      <c r="J280" s="4">
        <v>0.0</v>
      </c>
      <c r="K280" s="4">
        <v>0.0</v>
      </c>
      <c r="L280" s="4">
        <v>0.0</v>
      </c>
      <c r="M280" s="4">
        <v>359.0</v>
      </c>
      <c r="N280" s="4">
        <v>1081.0</v>
      </c>
      <c r="O280" s="4">
        <v>1907.0</v>
      </c>
    </row>
    <row r="281">
      <c r="A281" s="4">
        <v>2.873212765E9</v>
      </c>
      <c r="B281" s="5">
        <v>42486.0</v>
      </c>
      <c r="C281" s="4">
        <v>8242.0</v>
      </c>
      <c r="D281" s="4">
        <v>5.53999996185303</v>
      </c>
      <c r="E281" s="4">
        <v>5.53999996185303</v>
      </c>
      <c r="F281" s="4">
        <v>0.0</v>
      </c>
      <c r="G281" s="4">
        <v>0.119999997317791</v>
      </c>
      <c r="H281" s="4">
        <v>0.180000007152557</v>
      </c>
      <c r="I281" s="4">
        <v>5.23999977111816</v>
      </c>
      <c r="J281" s="4">
        <v>0.0</v>
      </c>
      <c r="K281" s="4">
        <v>2.0</v>
      </c>
      <c r="L281" s="4">
        <v>5.0</v>
      </c>
      <c r="M281" s="4">
        <v>309.0</v>
      </c>
      <c r="N281" s="4">
        <v>1124.0</v>
      </c>
      <c r="O281" s="4">
        <v>1882.0</v>
      </c>
    </row>
    <row r="282">
      <c r="A282" s="4">
        <v>2.873212765E9</v>
      </c>
      <c r="B282" s="5">
        <v>42487.0</v>
      </c>
      <c r="C282" s="4">
        <v>3516.0</v>
      </c>
      <c r="D282" s="4">
        <v>2.35999989509583</v>
      </c>
      <c r="E282" s="4">
        <v>2.35999989509583</v>
      </c>
      <c r="F282" s="4">
        <v>0.0</v>
      </c>
      <c r="G282" s="4">
        <v>0.0</v>
      </c>
      <c r="H282" s="4">
        <v>0.0</v>
      </c>
      <c r="I282" s="4">
        <v>2.35999989509583</v>
      </c>
      <c r="J282" s="4">
        <v>0.0</v>
      </c>
      <c r="K282" s="4">
        <v>46.0</v>
      </c>
      <c r="L282" s="4">
        <v>0.0</v>
      </c>
      <c r="M282" s="4">
        <v>197.0</v>
      </c>
      <c r="N282" s="4">
        <v>1197.0</v>
      </c>
      <c r="O282" s="4">
        <v>1966.0</v>
      </c>
    </row>
    <row r="283">
      <c r="A283" s="4">
        <v>2.873212765E9</v>
      </c>
      <c r="B283" s="5">
        <v>42488.0</v>
      </c>
      <c r="C283" s="4">
        <v>7913.0</v>
      </c>
      <c r="D283" s="4">
        <v>5.40999984741211</v>
      </c>
      <c r="E283" s="4">
        <v>5.40999984741211</v>
      </c>
      <c r="F283" s="4">
        <v>0.0</v>
      </c>
      <c r="G283" s="4">
        <v>2.16000008583069</v>
      </c>
      <c r="H283" s="4">
        <v>0.340000003576279</v>
      </c>
      <c r="I283" s="4">
        <v>2.91000008583069</v>
      </c>
      <c r="J283" s="4">
        <v>0.0</v>
      </c>
      <c r="K283" s="4">
        <v>28.0</v>
      </c>
      <c r="L283" s="4">
        <v>7.0</v>
      </c>
      <c r="M283" s="4">
        <v>213.0</v>
      </c>
      <c r="N283" s="4">
        <v>1192.0</v>
      </c>
      <c r="O283" s="4">
        <v>1835.0</v>
      </c>
    </row>
    <row r="284">
      <c r="A284" s="4">
        <v>2.873212765E9</v>
      </c>
      <c r="B284" s="5">
        <v>42489.0</v>
      </c>
      <c r="C284" s="4">
        <v>7365.0</v>
      </c>
      <c r="D284" s="4">
        <v>4.94999980926514</v>
      </c>
      <c r="E284" s="4">
        <v>4.94999980926514</v>
      </c>
      <c r="F284" s="4">
        <v>0.0</v>
      </c>
      <c r="G284" s="4">
        <v>1.36000001430511</v>
      </c>
      <c r="H284" s="4">
        <v>1.4099999666214</v>
      </c>
      <c r="I284" s="4">
        <v>2.1800000667572</v>
      </c>
      <c r="J284" s="4">
        <v>0.0</v>
      </c>
      <c r="K284" s="4">
        <v>20.0</v>
      </c>
      <c r="L284" s="4">
        <v>23.0</v>
      </c>
      <c r="M284" s="4">
        <v>206.0</v>
      </c>
      <c r="N284" s="4">
        <v>1191.0</v>
      </c>
      <c r="O284" s="4">
        <v>1780.0</v>
      </c>
    </row>
    <row r="285">
      <c r="A285" s="4">
        <v>2.873212765E9</v>
      </c>
      <c r="B285" s="5">
        <v>42490.0</v>
      </c>
      <c r="C285" s="4">
        <v>8452.0</v>
      </c>
      <c r="D285" s="4">
        <v>5.67999982833862</v>
      </c>
      <c r="E285" s="4">
        <v>5.67999982833862</v>
      </c>
      <c r="F285" s="4">
        <v>0.0</v>
      </c>
      <c r="G285" s="4">
        <v>0.330000013113022</v>
      </c>
      <c r="H285" s="4">
        <v>1.08000004291534</v>
      </c>
      <c r="I285" s="4">
        <v>4.26000022888184</v>
      </c>
      <c r="J285" s="4">
        <v>0.00999999977648258</v>
      </c>
      <c r="K285" s="4">
        <v>5.0</v>
      </c>
      <c r="L285" s="4">
        <v>20.0</v>
      </c>
      <c r="M285" s="4">
        <v>248.0</v>
      </c>
      <c r="N285" s="4">
        <v>1167.0</v>
      </c>
      <c r="O285" s="4">
        <v>1830.0</v>
      </c>
    </row>
    <row r="286">
      <c r="A286" s="4">
        <v>2.873212765E9</v>
      </c>
      <c r="B286" s="5">
        <v>42491.0</v>
      </c>
      <c r="C286" s="4">
        <v>7399.0</v>
      </c>
      <c r="D286" s="4">
        <v>4.96999979019165</v>
      </c>
      <c r="E286" s="4">
        <v>4.96999979019165</v>
      </c>
      <c r="F286" s="4">
        <v>0.0</v>
      </c>
      <c r="G286" s="4">
        <v>0.490000009536743</v>
      </c>
      <c r="H286" s="4">
        <v>1.03999996185303</v>
      </c>
      <c r="I286" s="4">
        <v>3.44000005722046</v>
      </c>
      <c r="J286" s="4">
        <v>0.0</v>
      </c>
      <c r="K286" s="4">
        <v>7.0</v>
      </c>
      <c r="L286" s="4">
        <v>18.0</v>
      </c>
      <c r="M286" s="4">
        <v>196.0</v>
      </c>
      <c r="N286" s="4">
        <v>1219.0</v>
      </c>
      <c r="O286" s="4">
        <v>1739.0</v>
      </c>
    </row>
    <row r="287">
      <c r="A287" s="4">
        <v>2.873212765E9</v>
      </c>
      <c r="B287" s="5">
        <v>42492.0</v>
      </c>
      <c r="C287" s="4">
        <v>7525.0</v>
      </c>
      <c r="D287" s="4">
        <v>5.05999994277954</v>
      </c>
      <c r="E287" s="4">
        <v>5.05999994277954</v>
      </c>
      <c r="F287" s="4">
        <v>0.0</v>
      </c>
      <c r="G287" s="4">
        <v>0.0</v>
      </c>
      <c r="H287" s="4">
        <v>0.209999993443489</v>
      </c>
      <c r="I287" s="4">
        <v>4.82999992370605</v>
      </c>
      <c r="J287" s="4">
        <v>0.0199999995529652</v>
      </c>
      <c r="K287" s="4">
        <v>0.0</v>
      </c>
      <c r="L287" s="4">
        <v>7.0</v>
      </c>
      <c r="M287" s="4">
        <v>334.0</v>
      </c>
      <c r="N287" s="4">
        <v>1099.0</v>
      </c>
      <c r="O287" s="4">
        <v>1878.0</v>
      </c>
    </row>
    <row r="288">
      <c r="A288" s="4">
        <v>2.873212765E9</v>
      </c>
      <c r="B288" s="5">
        <v>42493.0</v>
      </c>
      <c r="C288" s="4">
        <v>7412.0</v>
      </c>
      <c r="D288" s="4">
        <v>4.98000001907349</v>
      </c>
      <c r="E288" s="4">
        <v>4.98000001907349</v>
      </c>
      <c r="F288" s="4">
        <v>0.0</v>
      </c>
      <c r="G288" s="4">
        <v>0.0599999986588955</v>
      </c>
      <c r="H288" s="4">
        <v>0.25</v>
      </c>
      <c r="I288" s="4">
        <v>4.65999984741211</v>
      </c>
      <c r="J288" s="4">
        <v>0.00999999977648258</v>
      </c>
      <c r="K288" s="4">
        <v>1.0</v>
      </c>
      <c r="L288" s="4">
        <v>6.0</v>
      </c>
      <c r="M288" s="4">
        <v>363.0</v>
      </c>
      <c r="N288" s="4">
        <v>1070.0</v>
      </c>
      <c r="O288" s="4">
        <v>1906.0</v>
      </c>
    </row>
    <row r="289">
      <c r="A289" s="4">
        <v>2.873212765E9</v>
      </c>
      <c r="B289" s="5">
        <v>42494.0</v>
      </c>
      <c r="C289" s="4">
        <v>8278.0</v>
      </c>
      <c r="D289" s="4">
        <v>5.55999994277954</v>
      </c>
      <c r="E289" s="4">
        <v>5.55999994277954</v>
      </c>
      <c r="F289" s="4">
        <v>0.0</v>
      </c>
      <c r="G289" s="4">
        <v>0.0</v>
      </c>
      <c r="H289" s="4">
        <v>0.0</v>
      </c>
      <c r="I289" s="4">
        <v>5.55999994277954</v>
      </c>
      <c r="J289" s="4">
        <v>0.0</v>
      </c>
      <c r="K289" s="4">
        <v>0.0</v>
      </c>
      <c r="L289" s="4">
        <v>0.0</v>
      </c>
      <c r="M289" s="4">
        <v>420.0</v>
      </c>
      <c r="N289" s="4">
        <v>1020.0</v>
      </c>
      <c r="O289" s="4">
        <v>2015.0</v>
      </c>
    </row>
    <row r="290">
      <c r="A290" s="4">
        <v>2.873212765E9</v>
      </c>
      <c r="B290" s="5">
        <v>42495.0</v>
      </c>
      <c r="C290" s="4">
        <v>8314.0</v>
      </c>
      <c r="D290" s="4">
        <v>5.6100001335144</v>
      </c>
      <c r="E290" s="4">
        <v>5.6100001335144</v>
      </c>
      <c r="F290" s="4">
        <v>0.0</v>
      </c>
      <c r="G290" s="4">
        <v>0.779999971389771</v>
      </c>
      <c r="H290" s="4">
        <v>0.800000011920929</v>
      </c>
      <c r="I290" s="4">
        <v>4.03000020980835</v>
      </c>
      <c r="J290" s="4">
        <v>0.0</v>
      </c>
      <c r="K290" s="4">
        <v>13.0</v>
      </c>
      <c r="L290" s="4">
        <v>23.0</v>
      </c>
      <c r="M290" s="4">
        <v>311.0</v>
      </c>
      <c r="N290" s="4">
        <v>1093.0</v>
      </c>
      <c r="O290" s="4">
        <v>1971.0</v>
      </c>
    </row>
    <row r="291">
      <c r="A291" s="4">
        <v>2.873212765E9</v>
      </c>
      <c r="B291" s="5">
        <v>42496.0</v>
      </c>
      <c r="C291" s="4">
        <v>7063.0</v>
      </c>
      <c r="D291" s="4">
        <v>4.75</v>
      </c>
      <c r="E291" s="4">
        <v>4.75</v>
      </c>
      <c r="F291" s="4">
        <v>0.0</v>
      </c>
      <c r="G291" s="4">
        <v>0.0</v>
      </c>
      <c r="H291" s="4">
        <v>0.119999997317791</v>
      </c>
      <c r="I291" s="4">
        <v>4.6100001335144</v>
      </c>
      <c r="J291" s="4">
        <v>0.00999999977648258</v>
      </c>
      <c r="K291" s="4">
        <v>0.0</v>
      </c>
      <c r="L291" s="4">
        <v>5.0</v>
      </c>
      <c r="M291" s="4">
        <v>370.0</v>
      </c>
      <c r="N291" s="4">
        <v>1065.0</v>
      </c>
      <c r="O291" s="4">
        <v>1910.0</v>
      </c>
    </row>
    <row r="292">
      <c r="A292" s="4">
        <v>2.873212765E9</v>
      </c>
      <c r="B292" s="5">
        <v>42497.0</v>
      </c>
      <c r="C292" s="4">
        <v>4940.0</v>
      </c>
      <c r="D292" s="4">
        <v>3.38000011444092</v>
      </c>
      <c r="E292" s="4">
        <v>3.38000011444092</v>
      </c>
      <c r="F292" s="4">
        <v>0.0</v>
      </c>
      <c r="G292" s="4">
        <v>2.27999997138977</v>
      </c>
      <c r="H292" s="4">
        <v>0.550000011920929</v>
      </c>
      <c r="I292" s="4">
        <v>0.550000011920929</v>
      </c>
      <c r="J292" s="4">
        <v>0.0</v>
      </c>
      <c r="K292" s="4">
        <v>75.0</v>
      </c>
      <c r="L292" s="4">
        <v>11.0</v>
      </c>
      <c r="M292" s="4">
        <v>52.0</v>
      </c>
      <c r="N292" s="4">
        <v>1302.0</v>
      </c>
      <c r="O292" s="4">
        <v>1897.0</v>
      </c>
    </row>
    <row r="293">
      <c r="A293" s="4">
        <v>2.873212765E9</v>
      </c>
      <c r="B293" s="5">
        <v>42498.0</v>
      </c>
      <c r="C293" s="4">
        <v>8168.0</v>
      </c>
      <c r="D293" s="4">
        <v>5.53999996185303</v>
      </c>
      <c r="E293" s="4">
        <v>5.53999996185303</v>
      </c>
      <c r="F293" s="4">
        <v>0.0</v>
      </c>
      <c r="G293" s="4">
        <v>2.90000009536743</v>
      </c>
      <c r="H293" s="4">
        <v>0.0</v>
      </c>
      <c r="I293" s="4">
        <v>2.64000010490417</v>
      </c>
      <c r="J293" s="4">
        <v>0.0</v>
      </c>
      <c r="K293" s="4">
        <v>46.0</v>
      </c>
      <c r="L293" s="4">
        <v>0.0</v>
      </c>
      <c r="M293" s="4">
        <v>326.0</v>
      </c>
      <c r="N293" s="4">
        <v>1068.0</v>
      </c>
      <c r="O293" s="4">
        <v>2096.0</v>
      </c>
    </row>
    <row r="294">
      <c r="A294" s="4">
        <v>2.873212765E9</v>
      </c>
      <c r="B294" s="5">
        <v>42499.0</v>
      </c>
      <c r="C294" s="4">
        <v>7726.0</v>
      </c>
      <c r="D294" s="4">
        <v>5.19000005722046</v>
      </c>
      <c r="E294" s="4">
        <v>5.19000005722046</v>
      </c>
      <c r="F294" s="4">
        <v>0.0</v>
      </c>
      <c r="G294" s="4">
        <v>0.0</v>
      </c>
      <c r="H294" s="4">
        <v>0.0</v>
      </c>
      <c r="I294" s="4">
        <v>5.19000005722046</v>
      </c>
      <c r="J294" s="4">
        <v>0.0</v>
      </c>
      <c r="K294" s="4">
        <v>0.0</v>
      </c>
      <c r="L294" s="4">
        <v>0.0</v>
      </c>
      <c r="M294" s="4">
        <v>345.0</v>
      </c>
      <c r="N294" s="4">
        <v>1095.0</v>
      </c>
      <c r="O294" s="4">
        <v>1906.0</v>
      </c>
    </row>
    <row r="295">
      <c r="A295" s="4">
        <v>2.873212765E9</v>
      </c>
      <c r="B295" s="5">
        <v>42500.0</v>
      </c>
      <c r="C295" s="4">
        <v>8275.0</v>
      </c>
      <c r="D295" s="4">
        <v>5.55999994277954</v>
      </c>
      <c r="E295" s="4">
        <v>5.55999994277954</v>
      </c>
      <c r="F295" s="4">
        <v>0.0</v>
      </c>
      <c r="G295" s="4">
        <v>0.0</v>
      </c>
      <c r="H295" s="4">
        <v>0.0</v>
      </c>
      <c r="I295" s="4">
        <v>5.55000019073486</v>
      </c>
      <c r="J295" s="4">
        <v>0.00999999977648258</v>
      </c>
      <c r="K295" s="4">
        <v>0.0</v>
      </c>
      <c r="L295" s="4">
        <v>0.0</v>
      </c>
      <c r="M295" s="4">
        <v>373.0</v>
      </c>
      <c r="N295" s="4">
        <v>1067.0</v>
      </c>
      <c r="O295" s="4">
        <v>1962.0</v>
      </c>
    </row>
    <row r="296">
      <c r="A296" s="4">
        <v>2.873212765E9</v>
      </c>
      <c r="B296" s="5">
        <v>42501.0</v>
      </c>
      <c r="C296" s="4">
        <v>6440.0</v>
      </c>
      <c r="D296" s="4">
        <v>4.32999992370605</v>
      </c>
      <c r="E296" s="4">
        <v>4.32999992370605</v>
      </c>
      <c r="F296" s="4">
        <v>0.0</v>
      </c>
      <c r="G296" s="4">
        <v>0.0</v>
      </c>
      <c r="H296" s="4">
        <v>0.0</v>
      </c>
      <c r="I296" s="4">
        <v>4.32000017166138</v>
      </c>
      <c r="J296" s="4">
        <v>0.00999999977648258</v>
      </c>
      <c r="K296" s="4">
        <v>0.0</v>
      </c>
      <c r="L296" s="4">
        <v>0.0</v>
      </c>
      <c r="M296" s="4">
        <v>319.0</v>
      </c>
      <c r="N296" s="4">
        <v>1121.0</v>
      </c>
      <c r="O296" s="4">
        <v>1826.0</v>
      </c>
    </row>
    <row r="297">
      <c r="A297" s="4">
        <v>2.873212765E9</v>
      </c>
      <c r="B297" s="5">
        <v>42502.0</v>
      </c>
      <c r="C297" s="4">
        <v>7566.0</v>
      </c>
      <c r="D297" s="4">
        <v>5.1100001335144</v>
      </c>
      <c r="E297" s="4">
        <v>5.1100001335144</v>
      </c>
      <c r="F297" s="4">
        <v>0.0</v>
      </c>
      <c r="G297" s="4">
        <v>0.0</v>
      </c>
      <c r="H297" s="4">
        <v>0.0</v>
      </c>
      <c r="I297" s="4">
        <v>5.1100001335144</v>
      </c>
      <c r="J297" s="4">
        <v>0.0</v>
      </c>
      <c r="K297" s="4">
        <v>0.0</v>
      </c>
      <c r="L297" s="4">
        <v>0.0</v>
      </c>
      <c r="M297" s="4">
        <v>268.0</v>
      </c>
      <c r="N297" s="4">
        <v>720.0</v>
      </c>
      <c r="O297" s="4">
        <v>1431.0</v>
      </c>
    </row>
    <row r="298">
      <c r="A298" s="4">
        <v>3.372868164E9</v>
      </c>
      <c r="B298" s="5">
        <v>42472.0</v>
      </c>
      <c r="C298" s="4">
        <v>4747.0</v>
      </c>
      <c r="D298" s="4">
        <v>3.24000000953674</v>
      </c>
      <c r="E298" s="4">
        <v>3.24000000953674</v>
      </c>
      <c r="F298" s="4">
        <v>0.0</v>
      </c>
      <c r="G298" s="4">
        <v>0.0</v>
      </c>
      <c r="H298" s="4">
        <v>0.0</v>
      </c>
      <c r="I298" s="4">
        <v>3.23000001907349</v>
      </c>
      <c r="J298" s="4">
        <v>0.00999999977648258</v>
      </c>
      <c r="K298" s="4">
        <v>0.0</v>
      </c>
      <c r="L298" s="4">
        <v>0.0</v>
      </c>
      <c r="M298" s="4">
        <v>280.0</v>
      </c>
      <c r="N298" s="4">
        <v>1160.0</v>
      </c>
      <c r="O298" s="4">
        <v>1788.0</v>
      </c>
    </row>
    <row r="299">
      <c r="A299" s="4">
        <v>3.372868164E9</v>
      </c>
      <c r="B299" s="5">
        <v>42473.0</v>
      </c>
      <c r="C299" s="4">
        <v>9715.0</v>
      </c>
      <c r="D299" s="4">
        <v>6.63000011444092</v>
      </c>
      <c r="E299" s="4">
        <v>6.63000011444092</v>
      </c>
      <c r="F299" s="4">
        <v>0.0</v>
      </c>
      <c r="G299" s="4">
        <v>0.990000009536743</v>
      </c>
      <c r="H299" s="4">
        <v>0.340000003576279</v>
      </c>
      <c r="I299" s="4">
        <v>5.26999998092651</v>
      </c>
      <c r="J299" s="4">
        <v>0.0199999995529652</v>
      </c>
      <c r="K299" s="4">
        <v>16.0</v>
      </c>
      <c r="L299" s="4">
        <v>8.0</v>
      </c>
      <c r="M299" s="4">
        <v>371.0</v>
      </c>
      <c r="N299" s="4">
        <v>1045.0</v>
      </c>
      <c r="O299" s="4">
        <v>2093.0</v>
      </c>
    </row>
    <row r="300">
      <c r="A300" s="4">
        <v>3.372868164E9</v>
      </c>
      <c r="B300" s="5">
        <v>42474.0</v>
      </c>
      <c r="C300" s="4">
        <v>8844.0</v>
      </c>
      <c r="D300" s="4">
        <v>6.03000020980835</v>
      </c>
      <c r="E300" s="4">
        <v>6.03000020980835</v>
      </c>
      <c r="F300" s="4">
        <v>0.0</v>
      </c>
      <c r="G300" s="4">
        <v>0.340000003576279</v>
      </c>
      <c r="H300" s="4">
        <v>1.02999997138977</v>
      </c>
      <c r="I300" s="4">
        <v>4.65000009536743</v>
      </c>
      <c r="J300" s="4">
        <v>0.00999999977648258</v>
      </c>
      <c r="K300" s="4">
        <v>6.0</v>
      </c>
      <c r="L300" s="4">
        <v>25.0</v>
      </c>
      <c r="M300" s="4">
        <v>370.0</v>
      </c>
      <c r="N300" s="4">
        <v>1039.0</v>
      </c>
      <c r="O300" s="4">
        <v>2065.0</v>
      </c>
    </row>
    <row r="301">
      <c r="A301" s="4">
        <v>3.372868164E9</v>
      </c>
      <c r="B301" s="5">
        <v>42475.0</v>
      </c>
      <c r="C301" s="4">
        <v>7451.0</v>
      </c>
      <c r="D301" s="4">
        <v>5.07999992370605</v>
      </c>
      <c r="E301" s="4">
        <v>5.07999992370605</v>
      </c>
      <c r="F301" s="4">
        <v>0.0</v>
      </c>
      <c r="G301" s="4">
        <v>0.0</v>
      </c>
      <c r="H301" s="4">
        <v>0.0</v>
      </c>
      <c r="I301" s="4">
        <v>5.05999994277954</v>
      </c>
      <c r="J301" s="4">
        <v>0.0199999995529652</v>
      </c>
      <c r="K301" s="4">
        <v>0.0</v>
      </c>
      <c r="L301" s="4">
        <v>0.0</v>
      </c>
      <c r="M301" s="4">
        <v>335.0</v>
      </c>
      <c r="N301" s="4">
        <v>1105.0</v>
      </c>
      <c r="O301" s="4">
        <v>1908.0</v>
      </c>
    </row>
    <row r="302">
      <c r="A302" s="4">
        <v>3.372868164E9</v>
      </c>
      <c r="B302" s="5">
        <v>42476.0</v>
      </c>
      <c r="C302" s="4">
        <v>6905.0</v>
      </c>
      <c r="D302" s="4">
        <v>4.73000001907349</v>
      </c>
      <c r="E302" s="4">
        <v>4.73000001907349</v>
      </c>
      <c r="F302" s="4">
        <v>0.0</v>
      </c>
      <c r="G302" s="4">
        <v>0.0</v>
      </c>
      <c r="H302" s="4">
        <v>0.0</v>
      </c>
      <c r="I302" s="4">
        <v>4.69999980926514</v>
      </c>
      <c r="J302" s="4">
        <v>0.0299999993294477</v>
      </c>
      <c r="K302" s="4">
        <v>0.0</v>
      </c>
      <c r="L302" s="4">
        <v>0.0</v>
      </c>
      <c r="M302" s="4">
        <v>356.0</v>
      </c>
      <c r="N302" s="4">
        <v>1084.0</v>
      </c>
      <c r="O302" s="4">
        <v>1908.0</v>
      </c>
    </row>
    <row r="303">
      <c r="A303" s="4">
        <v>3.372868164E9</v>
      </c>
      <c r="B303" s="5">
        <v>42477.0</v>
      </c>
      <c r="C303" s="4">
        <v>8199.0</v>
      </c>
      <c r="D303" s="4">
        <v>5.88000011444092</v>
      </c>
      <c r="E303" s="4">
        <v>5.88000011444092</v>
      </c>
      <c r="F303" s="4">
        <v>0.0</v>
      </c>
      <c r="G303" s="4">
        <v>1.4099999666214</v>
      </c>
      <c r="H303" s="4">
        <v>0.100000001490116</v>
      </c>
      <c r="I303" s="4">
        <v>4.3600001335144</v>
      </c>
      <c r="J303" s="4">
        <v>0.00999999977648258</v>
      </c>
      <c r="K303" s="4">
        <v>11.0</v>
      </c>
      <c r="L303" s="4">
        <v>2.0</v>
      </c>
      <c r="M303" s="4">
        <v>322.0</v>
      </c>
      <c r="N303" s="4">
        <v>1105.0</v>
      </c>
      <c r="O303" s="4">
        <v>1964.0</v>
      </c>
    </row>
    <row r="304">
      <c r="A304" s="4">
        <v>3.372868164E9</v>
      </c>
      <c r="B304" s="5">
        <v>42478.0</v>
      </c>
      <c r="C304" s="4">
        <v>6798.0</v>
      </c>
      <c r="D304" s="4">
        <v>4.6399998664856</v>
      </c>
      <c r="E304" s="4">
        <v>4.6399998664856</v>
      </c>
      <c r="F304" s="4">
        <v>0.0</v>
      </c>
      <c r="G304" s="4">
        <v>1.08000004291534</v>
      </c>
      <c r="H304" s="4">
        <v>0.200000002980232</v>
      </c>
      <c r="I304" s="4">
        <v>3.34999990463257</v>
      </c>
      <c r="J304" s="4">
        <v>0.0</v>
      </c>
      <c r="K304" s="4">
        <v>20.0</v>
      </c>
      <c r="L304" s="4">
        <v>7.0</v>
      </c>
      <c r="M304" s="4">
        <v>343.0</v>
      </c>
      <c r="N304" s="4">
        <v>1070.0</v>
      </c>
      <c r="O304" s="4">
        <v>2014.0</v>
      </c>
    </row>
    <row r="305">
      <c r="A305" s="4">
        <v>3.372868164E9</v>
      </c>
      <c r="B305" s="5">
        <v>42479.0</v>
      </c>
      <c r="C305" s="4">
        <v>7711.0</v>
      </c>
      <c r="D305" s="4">
        <v>5.26000022888184</v>
      </c>
      <c r="E305" s="4">
        <v>5.26000022888184</v>
      </c>
      <c r="F305" s="4">
        <v>0.0</v>
      </c>
      <c r="G305" s="4">
        <v>0.0</v>
      </c>
      <c r="H305" s="4">
        <v>0.0</v>
      </c>
      <c r="I305" s="4">
        <v>5.23999977111816</v>
      </c>
      <c r="J305" s="4">
        <v>0.0199999995529652</v>
      </c>
      <c r="K305" s="4">
        <v>0.0</v>
      </c>
      <c r="L305" s="4">
        <v>0.0</v>
      </c>
      <c r="M305" s="4">
        <v>376.0</v>
      </c>
      <c r="N305" s="4">
        <v>1064.0</v>
      </c>
      <c r="O305" s="4">
        <v>1985.0</v>
      </c>
    </row>
    <row r="306">
      <c r="A306" s="4">
        <v>3.372868164E9</v>
      </c>
      <c r="B306" s="5">
        <v>42480.0</v>
      </c>
      <c r="C306" s="4">
        <v>4880.0</v>
      </c>
      <c r="D306" s="4">
        <v>3.32999992370605</v>
      </c>
      <c r="E306" s="4">
        <v>3.32999992370605</v>
      </c>
      <c r="F306" s="4">
        <v>0.0</v>
      </c>
      <c r="G306" s="4">
        <v>0.839999973773956</v>
      </c>
      <c r="H306" s="4">
        <v>0.0900000035762787</v>
      </c>
      <c r="I306" s="4">
        <v>2.38000011444092</v>
      </c>
      <c r="J306" s="4">
        <v>0.0199999995529652</v>
      </c>
      <c r="K306" s="4">
        <v>15.0</v>
      </c>
      <c r="L306" s="4">
        <v>3.0</v>
      </c>
      <c r="M306" s="4">
        <v>274.0</v>
      </c>
      <c r="N306" s="4">
        <v>1148.0</v>
      </c>
      <c r="O306" s="4">
        <v>1867.0</v>
      </c>
    </row>
    <row r="307">
      <c r="A307" s="4">
        <v>3.372868164E9</v>
      </c>
      <c r="B307" s="5">
        <v>42481.0</v>
      </c>
      <c r="C307" s="4">
        <v>8857.0</v>
      </c>
      <c r="D307" s="4">
        <v>6.07000017166138</v>
      </c>
      <c r="E307" s="4">
        <v>6.07000017166138</v>
      </c>
      <c r="F307" s="4">
        <v>0.0</v>
      </c>
      <c r="G307" s="4">
        <v>1.14999997615814</v>
      </c>
      <c r="H307" s="4">
        <v>0.259999990463257</v>
      </c>
      <c r="I307" s="4">
        <v>4.6399998664856</v>
      </c>
      <c r="J307" s="4">
        <v>0.00999999977648258</v>
      </c>
      <c r="K307" s="4">
        <v>18.0</v>
      </c>
      <c r="L307" s="4">
        <v>9.0</v>
      </c>
      <c r="M307" s="4">
        <v>376.0</v>
      </c>
      <c r="N307" s="4">
        <v>1037.0</v>
      </c>
      <c r="O307" s="4">
        <v>2124.0</v>
      </c>
    </row>
    <row r="308">
      <c r="A308" s="4">
        <v>3.372868164E9</v>
      </c>
      <c r="B308" s="5">
        <v>42482.0</v>
      </c>
      <c r="C308" s="4">
        <v>3843.0</v>
      </c>
      <c r="D308" s="4">
        <v>2.61999988555908</v>
      </c>
      <c r="E308" s="4">
        <v>2.61999988555908</v>
      </c>
      <c r="F308" s="4">
        <v>0.0</v>
      </c>
      <c r="G308" s="4">
        <v>0.0</v>
      </c>
      <c r="H308" s="4">
        <v>0.0</v>
      </c>
      <c r="I308" s="4">
        <v>2.60999989509583</v>
      </c>
      <c r="J308" s="4">
        <v>0.00999999977648258</v>
      </c>
      <c r="K308" s="4">
        <v>0.0</v>
      </c>
      <c r="L308" s="4">
        <v>0.0</v>
      </c>
      <c r="M308" s="4">
        <v>206.0</v>
      </c>
      <c r="N308" s="4">
        <v>1234.0</v>
      </c>
      <c r="O308" s="4">
        <v>1669.0</v>
      </c>
    </row>
    <row r="309">
      <c r="A309" s="4">
        <v>3.372868164E9</v>
      </c>
      <c r="B309" s="5">
        <v>42483.0</v>
      </c>
      <c r="C309" s="4">
        <v>7396.0</v>
      </c>
      <c r="D309" s="4">
        <v>5.07000017166138</v>
      </c>
      <c r="E309" s="4">
        <v>5.07000017166138</v>
      </c>
      <c r="F309" s="4">
        <v>0.0</v>
      </c>
      <c r="G309" s="4">
        <v>1.39999997615814</v>
      </c>
      <c r="H309" s="4">
        <v>0.0799999982118607</v>
      </c>
      <c r="I309" s="4">
        <v>3.57999992370605</v>
      </c>
      <c r="J309" s="4">
        <v>0.0</v>
      </c>
      <c r="K309" s="4">
        <v>20.0</v>
      </c>
      <c r="L309" s="4">
        <v>2.0</v>
      </c>
      <c r="M309" s="4">
        <v>303.0</v>
      </c>
      <c r="N309" s="4">
        <v>1115.0</v>
      </c>
      <c r="O309" s="4">
        <v>1995.0</v>
      </c>
    </row>
    <row r="310">
      <c r="A310" s="4">
        <v>3.372868164E9</v>
      </c>
      <c r="B310" s="5">
        <v>42484.0</v>
      </c>
      <c r="C310" s="4">
        <v>6731.0</v>
      </c>
      <c r="D310" s="4">
        <v>4.59000015258789</v>
      </c>
      <c r="E310" s="4">
        <v>4.59000015258789</v>
      </c>
      <c r="F310" s="4">
        <v>0.0</v>
      </c>
      <c r="G310" s="4">
        <v>0.889999985694885</v>
      </c>
      <c r="H310" s="4">
        <v>0.189999997615814</v>
      </c>
      <c r="I310" s="4">
        <v>3.49000000953674</v>
      </c>
      <c r="J310" s="4">
        <v>0.0199999995529652</v>
      </c>
      <c r="K310" s="4">
        <v>14.0</v>
      </c>
      <c r="L310" s="4">
        <v>7.0</v>
      </c>
      <c r="M310" s="4">
        <v>292.0</v>
      </c>
      <c r="N310" s="4">
        <v>1127.0</v>
      </c>
      <c r="O310" s="4">
        <v>1921.0</v>
      </c>
    </row>
    <row r="311">
      <c r="A311" s="4">
        <v>3.372868164E9</v>
      </c>
      <c r="B311" s="5">
        <v>42485.0</v>
      </c>
      <c r="C311" s="4">
        <v>5995.0</v>
      </c>
      <c r="D311" s="4">
        <v>4.09000015258789</v>
      </c>
      <c r="E311" s="4">
        <v>4.09000015258789</v>
      </c>
      <c r="F311" s="4">
        <v>0.0</v>
      </c>
      <c r="G311" s="4">
        <v>0.0</v>
      </c>
      <c r="H311" s="4">
        <v>0.0</v>
      </c>
      <c r="I311" s="4">
        <v>4.09000015258789</v>
      </c>
      <c r="J311" s="4">
        <v>0.0</v>
      </c>
      <c r="K311" s="4">
        <v>0.0</v>
      </c>
      <c r="L311" s="4">
        <v>0.0</v>
      </c>
      <c r="M311" s="4">
        <v>416.0</v>
      </c>
      <c r="N311" s="4">
        <v>1024.0</v>
      </c>
      <c r="O311" s="4">
        <v>2010.0</v>
      </c>
    </row>
    <row r="312">
      <c r="A312" s="4">
        <v>3.372868164E9</v>
      </c>
      <c r="B312" s="5">
        <v>42486.0</v>
      </c>
      <c r="C312" s="4">
        <v>8283.0</v>
      </c>
      <c r="D312" s="4">
        <v>5.78999996185303</v>
      </c>
      <c r="E312" s="4">
        <v>5.78999996185303</v>
      </c>
      <c r="F312" s="4">
        <v>0.0</v>
      </c>
      <c r="G312" s="4">
        <v>1.85000002384186</v>
      </c>
      <c r="H312" s="4">
        <v>0.0500000007450581</v>
      </c>
      <c r="I312" s="4">
        <v>3.86999988555908</v>
      </c>
      <c r="J312" s="4">
        <v>0.00999999977648258</v>
      </c>
      <c r="K312" s="4">
        <v>22.0</v>
      </c>
      <c r="L312" s="4">
        <v>2.0</v>
      </c>
      <c r="M312" s="4">
        <v>333.0</v>
      </c>
      <c r="N312" s="4">
        <v>1083.0</v>
      </c>
      <c r="O312" s="4">
        <v>2057.0</v>
      </c>
    </row>
    <row r="313">
      <c r="A313" s="4">
        <v>3.372868164E9</v>
      </c>
      <c r="B313" s="5">
        <v>42487.0</v>
      </c>
      <c r="C313" s="4">
        <v>7904.0</v>
      </c>
      <c r="D313" s="4">
        <v>5.42000007629395</v>
      </c>
      <c r="E313" s="4">
        <v>5.42000007629395</v>
      </c>
      <c r="F313" s="4">
        <v>0.0</v>
      </c>
      <c r="G313" s="4">
        <v>1.58000004291534</v>
      </c>
      <c r="H313" s="4">
        <v>0.629999995231628</v>
      </c>
      <c r="I313" s="4">
        <v>3.19000005722046</v>
      </c>
      <c r="J313" s="4">
        <v>0.00999999977648258</v>
      </c>
      <c r="K313" s="4">
        <v>24.0</v>
      </c>
      <c r="L313" s="4">
        <v>13.0</v>
      </c>
      <c r="M313" s="4">
        <v>346.0</v>
      </c>
      <c r="N313" s="4">
        <v>1057.0</v>
      </c>
      <c r="O313" s="4">
        <v>2095.0</v>
      </c>
    </row>
    <row r="314">
      <c r="A314" s="4">
        <v>3.372868164E9</v>
      </c>
      <c r="B314" s="5">
        <v>42488.0</v>
      </c>
      <c r="C314" s="4">
        <v>5512.0</v>
      </c>
      <c r="D314" s="4">
        <v>3.75999999046326</v>
      </c>
      <c r="E314" s="4">
        <v>3.75999999046326</v>
      </c>
      <c r="F314" s="4">
        <v>0.0</v>
      </c>
      <c r="G314" s="4">
        <v>0.0</v>
      </c>
      <c r="H314" s="4">
        <v>0.0</v>
      </c>
      <c r="I314" s="4">
        <v>3.75999999046326</v>
      </c>
      <c r="J314" s="4">
        <v>0.0</v>
      </c>
      <c r="K314" s="4">
        <v>0.0</v>
      </c>
      <c r="L314" s="4">
        <v>0.0</v>
      </c>
      <c r="M314" s="4">
        <v>385.0</v>
      </c>
      <c r="N314" s="4">
        <v>1055.0</v>
      </c>
      <c r="O314" s="4">
        <v>1972.0</v>
      </c>
    </row>
    <row r="315">
      <c r="A315" s="4">
        <v>3.372868164E9</v>
      </c>
      <c r="B315" s="5">
        <v>42489.0</v>
      </c>
      <c r="C315" s="4">
        <v>9135.0</v>
      </c>
      <c r="D315" s="4">
        <v>6.23000001907349</v>
      </c>
      <c r="E315" s="4">
        <v>6.23000001907349</v>
      </c>
      <c r="F315" s="4">
        <v>0.0</v>
      </c>
      <c r="G315" s="4">
        <v>0.0</v>
      </c>
      <c r="H315" s="4">
        <v>0.0</v>
      </c>
      <c r="I315" s="4">
        <v>6.21999979019165</v>
      </c>
      <c r="J315" s="4">
        <v>0.00999999977648258</v>
      </c>
      <c r="K315" s="4">
        <v>0.0</v>
      </c>
      <c r="L315" s="4">
        <v>0.0</v>
      </c>
      <c r="M315" s="4">
        <v>402.0</v>
      </c>
      <c r="N315" s="4">
        <v>1038.0</v>
      </c>
      <c r="O315" s="4">
        <v>2044.0</v>
      </c>
    </row>
    <row r="316">
      <c r="A316" s="4">
        <v>3.372868164E9</v>
      </c>
      <c r="B316" s="5">
        <v>42490.0</v>
      </c>
      <c r="C316" s="4">
        <v>5250.0</v>
      </c>
      <c r="D316" s="4">
        <v>3.57999992370605</v>
      </c>
      <c r="E316" s="4">
        <v>3.57999992370605</v>
      </c>
      <c r="F316" s="4">
        <v>0.0</v>
      </c>
      <c r="G316" s="4">
        <v>1.05999994277954</v>
      </c>
      <c r="H316" s="4">
        <v>0.0900000035762787</v>
      </c>
      <c r="I316" s="4">
        <v>2.42000007629395</v>
      </c>
      <c r="J316" s="4">
        <v>0.00999999977648258</v>
      </c>
      <c r="K316" s="4">
        <v>17.0</v>
      </c>
      <c r="L316" s="4">
        <v>4.0</v>
      </c>
      <c r="M316" s="4">
        <v>300.0</v>
      </c>
      <c r="N316" s="4">
        <v>1119.0</v>
      </c>
      <c r="O316" s="4">
        <v>1946.0</v>
      </c>
    </row>
    <row r="317">
      <c r="A317" s="4">
        <v>3.372868164E9</v>
      </c>
      <c r="B317" s="5">
        <v>42491.0</v>
      </c>
      <c r="C317" s="4">
        <v>3077.0</v>
      </c>
      <c r="D317" s="4">
        <v>2.09999990463257</v>
      </c>
      <c r="E317" s="4">
        <v>2.09999990463257</v>
      </c>
      <c r="F317" s="4">
        <v>0.0</v>
      </c>
      <c r="G317" s="4">
        <v>0.0</v>
      </c>
      <c r="H317" s="4">
        <v>0.0</v>
      </c>
      <c r="I317" s="4">
        <v>2.08999991416931</v>
      </c>
      <c r="J317" s="4">
        <v>0.0</v>
      </c>
      <c r="K317" s="4">
        <v>0.0</v>
      </c>
      <c r="L317" s="4">
        <v>0.0</v>
      </c>
      <c r="M317" s="4">
        <v>172.0</v>
      </c>
      <c r="N317" s="4">
        <v>842.0</v>
      </c>
      <c r="O317" s="4">
        <v>1237.0</v>
      </c>
    </row>
    <row r="318">
      <c r="A318" s="4">
        <v>3.977333714E9</v>
      </c>
      <c r="B318" s="5">
        <v>42472.0</v>
      </c>
      <c r="C318" s="4">
        <v>8856.0</v>
      </c>
      <c r="D318" s="4">
        <v>5.98000001907349</v>
      </c>
      <c r="E318" s="4">
        <v>5.98000001907349</v>
      </c>
      <c r="F318" s="4">
        <v>0.0</v>
      </c>
      <c r="G318" s="4">
        <v>3.05999994277954</v>
      </c>
      <c r="H318" s="4">
        <v>0.910000026226044</v>
      </c>
      <c r="I318" s="4">
        <v>2.00999999046326</v>
      </c>
      <c r="J318" s="4">
        <v>0.0</v>
      </c>
      <c r="K318" s="4">
        <v>44.0</v>
      </c>
      <c r="L318" s="4">
        <v>19.0</v>
      </c>
      <c r="M318" s="4">
        <v>131.0</v>
      </c>
      <c r="N318" s="4">
        <v>777.0</v>
      </c>
      <c r="O318" s="4">
        <v>1450.0</v>
      </c>
    </row>
    <row r="319">
      <c r="A319" s="4">
        <v>3.977333714E9</v>
      </c>
      <c r="B319" s="5">
        <v>42473.0</v>
      </c>
      <c r="C319" s="4">
        <v>10035.0</v>
      </c>
      <c r="D319" s="4">
        <v>6.71000003814697</v>
      </c>
      <c r="E319" s="4">
        <v>6.71000003814697</v>
      </c>
      <c r="F319" s="4">
        <v>0.0</v>
      </c>
      <c r="G319" s="4">
        <v>2.02999997138977</v>
      </c>
      <c r="H319" s="4">
        <v>2.13000011444092</v>
      </c>
      <c r="I319" s="4">
        <v>2.54999995231628</v>
      </c>
      <c r="J319" s="4">
        <v>0.0</v>
      </c>
      <c r="K319" s="4">
        <v>31.0</v>
      </c>
      <c r="L319" s="4">
        <v>46.0</v>
      </c>
      <c r="M319" s="4">
        <v>153.0</v>
      </c>
      <c r="N319" s="4">
        <v>754.0</v>
      </c>
      <c r="O319" s="4">
        <v>1495.0</v>
      </c>
    </row>
    <row r="320">
      <c r="A320" s="4">
        <v>3.977333714E9</v>
      </c>
      <c r="B320" s="5">
        <v>42474.0</v>
      </c>
      <c r="C320" s="4">
        <v>7641.0</v>
      </c>
      <c r="D320" s="4">
        <v>5.1100001335144</v>
      </c>
      <c r="E320" s="4">
        <v>5.1100001335144</v>
      </c>
      <c r="F320" s="4">
        <v>0.0</v>
      </c>
      <c r="G320" s="4">
        <v>0.319999992847443</v>
      </c>
      <c r="H320" s="4">
        <v>0.970000028610229</v>
      </c>
      <c r="I320" s="4">
        <v>3.8199999332428</v>
      </c>
      <c r="J320" s="4">
        <v>0.0</v>
      </c>
      <c r="K320" s="4">
        <v>5.0</v>
      </c>
      <c r="L320" s="4">
        <v>23.0</v>
      </c>
      <c r="M320" s="4">
        <v>214.0</v>
      </c>
      <c r="N320" s="4">
        <v>801.0</v>
      </c>
      <c r="O320" s="4">
        <v>1433.0</v>
      </c>
    </row>
    <row r="321">
      <c r="A321" s="4">
        <v>3.977333714E9</v>
      </c>
      <c r="B321" s="5">
        <v>42475.0</v>
      </c>
      <c r="C321" s="4">
        <v>9010.0</v>
      </c>
      <c r="D321" s="4">
        <v>6.05999994277954</v>
      </c>
      <c r="E321" s="4">
        <v>6.05999994277954</v>
      </c>
      <c r="F321" s="4">
        <v>0.0</v>
      </c>
      <c r="G321" s="4">
        <v>1.04999995231628</v>
      </c>
      <c r="H321" s="4">
        <v>1.75</v>
      </c>
      <c r="I321" s="4">
        <v>3.25999999046326</v>
      </c>
      <c r="J321" s="4">
        <v>0.0</v>
      </c>
      <c r="K321" s="4">
        <v>15.0</v>
      </c>
      <c r="L321" s="4">
        <v>42.0</v>
      </c>
      <c r="M321" s="4">
        <v>183.0</v>
      </c>
      <c r="N321" s="4">
        <v>644.0</v>
      </c>
      <c r="O321" s="4">
        <v>1468.0</v>
      </c>
    </row>
    <row r="322">
      <c r="A322" s="4">
        <v>3.977333714E9</v>
      </c>
      <c r="B322" s="5">
        <v>42476.0</v>
      </c>
      <c r="C322" s="4">
        <v>13459.0</v>
      </c>
      <c r="D322" s="4">
        <v>9.0</v>
      </c>
      <c r="E322" s="4">
        <v>9.0</v>
      </c>
      <c r="F322" s="4">
        <v>0.0</v>
      </c>
      <c r="G322" s="4">
        <v>2.02999997138977</v>
      </c>
      <c r="H322" s="4">
        <v>4.0</v>
      </c>
      <c r="I322" s="4">
        <v>2.97000002861023</v>
      </c>
      <c r="J322" s="4">
        <v>0.0</v>
      </c>
      <c r="K322" s="4">
        <v>31.0</v>
      </c>
      <c r="L322" s="4">
        <v>83.0</v>
      </c>
      <c r="M322" s="4">
        <v>153.0</v>
      </c>
      <c r="N322" s="4">
        <v>663.0</v>
      </c>
      <c r="O322" s="4">
        <v>1625.0</v>
      </c>
    </row>
    <row r="323">
      <c r="A323" s="4">
        <v>3.977333714E9</v>
      </c>
      <c r="B323" s="5">
        <v>42477.0</v>
      </c>
      <c r="C323" s="4">
        <v>10415.0</v>
      </c>
      <c r="D323" s="4">
        <v>6.96999979019165</v>
      </c>
      <c r="E323" s="4">
        <v>6.96999979019165</v>
      </c>
      <c r="F323" s="4">
        <v>0.0</v>
      </c>
      <c r="G323" s="4">
        <v>0.699999988079071</v>
      </c>
      <c r="H323" s="4">
        <v>2.34999990463257</v>
      </c>
      <c r="I323" s="4">
        <v>3.92000007629395</v>
      </c>
      <c r="J323" s="4">
        <v>0.0</v>
      </c>
      <c r="K323" s="4">
        <v>11.0</v>
      </c>
      <c r="L323" s="4">
        <v>58.0</v>
      </c>
      <c r="M323" s="4">
        <v>205.0</v>
      </c>
      <c r="N323" s="4">
        <v>600.0</v>
      </c>
      <c r="O323" s="4">
        <v>1529.0</v>
      </c>
    </row>
    <row r="324">
      <c r="A324" s="4">
        <v>3.977333714E9</v>
      </c>
      <c r="B324" s="5">
        <v>42478.0</v>
      </c>
      <c r="C324" s="4">
        <v>11663.0</v>
      </c>
      <c r="D324" s="4">
        <v>7.80000019073486</v>
      </c>
      <c r="E324" s="4">
        <v>7.80000019073486</v>
      </c>
      <c r="F324" s="4">
        <v>0.0</v>
      </c>
      <c r="G324" s="4">
        <v>0.25</v>
      </c>
      <c r="H324" s="4">
        <v>3.73000001907349</v>
      </c>
      <c r="I324" s="4">
        <v>3.8199999332428</v>
      </c>
      <c r="J324" s="4">
        <v>0.0</v>
      </c>
      <c r="K324" s="4">
        <v>4.0</v>
      </c>
      <c r="L324" s="4">
        <v>95.0</v>
      </c>
      <c r="M324" s="4">
        <v>214.0</v>
      </c>
      <c r="N324" s="4">
        <v>605.0</v>
      </c>
      <c r="O324" s="4">
        <v>1584.0</v>
      </c>
    </row>
    <row r="325">
      <c r="A325" s="4">
        <v>3.977333714E9</v>
      </c>
      <c r="B325" s="5">
        <v>42479.0</v>
      </c>
      <c r="C325" s="4">
        <v>12414.0</v>
      </c>
      <c r="D325" s="4">
        <v>8.77999973297119</v>
      </c>
      <c r="E325" s="4">
        <v>8.77999973297119</v>
      </c>
      <c r="F325" s="4">
        <v>0.0</v>
      </c>
      <c r="G325" s="4">
        <v>2.24000000953674</v>
      </c>
      <c r="H325" s="4">
        <v>2.45000004768372</v>
      </c>
      <c r="I325" s="4">
        <v>3.96000003814697</v>
      </c>
      <c r="J325" s="4">
        <v>0.0</v>
      </c>
      <c r="K325" s="4">
        <v>19.0</v>
      </c>
      <c r="L325" s="4">
        <v>67.0</v>
      </c>
      <c r="M325" s="4">
        <v>221.0</v>
      </c>
      <c r="N325" s="4">
        <v>738.0</v>
      </c>
      <c r="O325" s="4">
        <v>1638.0</v>
      </c>
    </row>
    <row r="326">
      <c r="A326" s="4">
        <v>3.977333714E9</v>
      </c>
      <c r="B326" s="5">
        <v>42480.0</v>
      </c>
      <c r="C326" s="4">
        <v>11658.0</v>
      </c>
      <c r="D326" s="4">
        <v>7.82999992370605</v>
      </c>
      <c r="E326" s="4">
        <v>7.82999992370605</v>
      </c>
      <c r="F326" s="4">
        <v>0.0</v>
      </c>
      <c r="G326" s="4">
        <v>0.200000002980232</v>
      </c>
      <c r="H326" s="4">
        <v>4.34999990463257</v>
      </c>
      <c r="I326" s="4">
        <v>3.27999997138977</v>
      </c>
      <c r="J326" s="4">
        <v>0.0</v>
      </c>
      <c r="K326" s="4">
        <v>2.0</v>
      </c>
      <c r="L326" s="4">
        <v>98.0</v>
      </c>
      <c r="M326" s="4">
        <v>164.0</v>
      </c>
      <c r="N326" s="4">
        <v>845.0</v>
      </c>
      <c r="O326" s="4">
        <v>1554.0</v>
      </c>
    </row>
    <row r="327">
      <c r="A327" s="4">
        <v>3.977333714E9</v>
      </c>
      <c r="B327" s="5">
        <v>42481.0</v>
      </c>
      <c r="C327" s="4">
        <v>6093.0</v>
      </c>
      <c r="D327" s="4">
        <v>4.07999992370605</v>
      </c>
      <c r="E327" s="4">
        <v>4.07999992370605</v>
      </c>
      <c r="F327" s="4">
        <v>0.0</v>
      </c>
      <c r="G327" s="4">
        <v>0.0</v>
      </c>
      <c r="H327" s="4">
        <v>0.0</v>
      </c>
      <c r="I327" s="4">
        <v>4.05999994277954</v>
      </c>
      <c r="J327" s="4">
        <v>0.0</v>
      </c>
      <c r="K327" s="4">
        <v>0.0</v>
      </c>
      <c r="L327" s="4">
        <v>0.0</v>
      </c>
      <c r="M327" s="4">
        <v>242.0</v>
      </c>
      <c r="N327" s="4">
        <v>712.0</v>
      </c>
      <c r="O327" s="4">
        <v>1397.0</v>
      </c>
    </row>
    <row r="328">
      <c r="A328" s="4">
        <v>3.977333714E9</v>
      </c>
      <c r="B328" s="5">
        <v>42482.0</v>
      </c>
      <c r="C328" s="4">
        <v>8911.0</v>
      </c>
      <c r="D328" s="4">
        <v>5.96000003814697</v>
      </c>
      <c r="E328" s="4">
        <v>5.96000003814697</v>
      </c>
      <c r="F328" s="4">
        <v>0.0</v>
      </c>
      <c r="G328" s="4">
        <v>2.32999992370605</v>
      </c>
      <c r="H328" s="4">
        <v>0.579999983310699</v>
      </c>
      <c r="I328" s="4">
        <v>3.05999994277954</v>
      </c>
      <c r="J328" s="4">
        <v>0.0</v>
      </c>
      <c r="K328" s="4">
        <v>33.0</v>
      </c>
      <c r="L328" s="4">
        <v>12.0</v>
      </c>
      <c r="M328" s="4">
        <v>188.0</v>
      </c>
      <c r="N328" s="4">
        <v>731.0</v>
      </c>
      <c r="O328" s="4">
        <v>1481.0</v>
      </c>
    </row>
    <row r="329">
      <c r="A329" s="4">
        <v>3.977333714E9</v>
      </c>
      <c r="B329" s="5">
        <v>42483.0</v>
      </c>
      <c r="C329" s="4">
        <v>12058.0</v>
      </c>
      <c r="D329" s="4">
        <v>8.06999969482422</v>
      </c>
      <c r="E329" s="4">
        <v>8.06999969482422</v>
      </c>
      <c r="F329" s="4">
        <v>0.0</v>
      </c>
      <c r="G329" s="4">
        <v>0.0</v>
      </c>
      <c r="H329" s="4">
        <v>4.21999979019165</v>
      </c>
      <c r="I329" s="4">
        <v>3.84999990463257</v>
      </c>
      <c r="J329" s="4">
        <v>0.0</v>
      </c>
      <c r="K329" s="4">
        <v>0.0</v>
      </c>
      <c r="L329" s="4">
        <v>92.0</v>
      </c>
      <c r="M329" s="4">
        <v>252.0</v>
      </c>
      <c r="N329" s="4">
        <v>724.0</v>
      </c>
      <c r="O329" s="4">
        <v>1638.0</v>
      </c>
    </row>
    <row r="330">
      <c r="A330" s="4">
        <v>3.977333714E9</v>
      </c>
      <c r="B330" s="5">
        <v>42484.0</v>
      </c>
      <c r="C330" s="4">
        <v>14112.0</v>
      </c>
      <c r="D330" s="4">
        <v>10.0</v>
      </c>
      <c r="E330" s="4">
        <v>10.0</v>
      </c>
      <c r="F330" s="4">
        <v>0.0</v>
      </c>
      <c r="G330" s="4">
        <v>3.26999998092651</v>
      </c>
      <c r="H330" s="4">
        <v>4.55999994277954</v>
      </c>
      <c r="I330" s="4">
        <v>2.17000007629395</v>
      </c>
      <c r="J330" s="4">
        <v>0.0</v>
      </c>
      <c r="K330" s="4">
        <v>30.0</v>
      </c>
      <c r="L330" s="4">
        <v>95.0</v>
      </c>
      <c r="M330" s="4">
        <v>129.0</v>
      </c>
      <c r="N330" s="4">
        <v>660.0</v>
      </c>
      <c r="O330" s="4">
        <v>1655.0</v>
      </c>
    </row>
    <row r="331">
      <c r="A331" s="4">
        <v>3.977333714E9</v>
      </c>
      <c r="B331" s="5">
        <v>42485.0</v>
      </c>
      <c r="C331" s="4">
        <v>11177.0</v>
      </c>
      <c r="D331" s="4">
        <v>8.47999954223633</v>
      </c>
      <c r="E331" s="4">
        <v>8.47999954223633</v>
      </c>
      <c r="F331" s="4">
        <v>0.0</v>
      </c>
      <c r="G331" s="4">
        <v>5.61999988555908</v>
      </c>
      <c r="H331" s="4">
        <v>0.430000007152557</v>
      </c>
      <c r="I331" s="4">
        <v>2.41000008583069</v>
      </c>
      <c r="J331" s="4">
        <v>0.0</v>
      </c>
      <c r="K331" s="4">
        <v>50.0</v>
      </c>
      <c r="L331" s="4">
        <v>9.0</v>
      </c>
      <c r="M331" s="4">
        <v>133.0</v>
      </c>
      <c r="N331" s="4">
        <v>781.0</v>
      </c>
      <c r="O331" s="4">
        <v>1570.0</v>
      </c>
    </row>
    <row r="332">
      <c r="A332" s="4">
        <v>3.977333714E9</v>
      </c>
      <c r="B332" s="5">
        <v>42486.0</v>
      </c>
      <c r="C332" s="4">
        <v>11388.0</v>
      </c>
      <c r="D332" s="4">
        <v>7.61999988555908</v>
      </c>
      <c r="E332" s="4">
        <v>7.61999988555908</v>
      </c>
      <c r="F332" s="4">
        <v>0.0</v>
      </c>
      <c r="G332" s="4">
        <v>0.449999988079071</v>
      </c>
      <c r="H332" s="4">
        <v>4.21999979019165</v>
      </c>
      <c r="I332" s="4">
        <v>2.95000004768372</v>
      </c>
      <c r="J332" s="4">
        <v>0.0</v>
      </c>
      <c r="K332" s="4">
        <v>7.0</v>
      </c>
      <c r="L332" s="4">
        <v>95.0</v>
      </c>
      <c r="M332" s="4">
        <v>170.0</v>
      </c>
      <c r="N332" s="4">
        <v>797.0</v>
      </c>
      <c r="O332" s="4">
        <v>1551.0</v>
      </c>
    </row>
    <row r="333">
      <c r="A333" s="4">
        <v>3.977333714E9</v>
      </c>
      <c r="B333" s="5">
        <v>42487.0</v>
      </c>
      <c r="C333" s="4">
        <v>7193.0</v>
      </c>
      <c r="D333" s="4">
        <v>5.03999996185303</v>
      </c>
      <c r="E333" s="4">
        <v>5.03999996185303</v>
      </c>
      <c r="F333" s="4">
        <v>0.0</v>
      </c>
      <c r="G333" s="4">
        <v>0.0</v>
      </c>
      <c r="H333" s="4">
        <v>0.419999986886978</v>
      </c>
      <c r="I333" s="4">
        <v>4.61999988555908</v>
      </c>
      <c r="J333" s="4">
        <v>0.0</v>
      </c>
      <c r="K333" s="4">
        <v>0.0</v>
      </c>
      <c r="L333" s="4">
        <v>10.0</v>
      </c>
      <c r="M333" s="4">
        <v>176.0</v>
      </c>
      <c r="N333" s="4">
        <v>714.0</v>
      </c>
      <c r="O333" s="4">
        <v>1377.0</v>
      </c>
    </row>
    <row r="334">
      <c r="A334" s="4">
        <v>3.977333714E9</v>
      </c>
      <c r="B334" s="5">
        <v>42488.0</v>
      </c>
      <c r="C334" s="4">
        <v>7114.0</v>
      </c>
      <c r="D334" s="4">
        <v>4.88000011444092</v>
      </c>
      <c r="E334" s="4">
        <v>4.88000011444092</v>
      </c>
      <c r="F334" s="4">
        <v>0.0</v>
      </c>
      <c r="G334" s="4">
        <v>1.37000000476837</v>
      </c>
      <c r="H334" s="4">
        <v>0.28999999165535</v>
      </c>
      <c r="I334" s="4">
        <v>3.22000002861023</v>
      </c>
      <c r="J334" s="4">
        <v>0.0</v>
      </c>
      <c r="K334" s="4">
        <v>15.0</v>
      </c>
      <c r="L334" s="4">
        <v>8.0</v>
      </c>
      <c r="M334" s="4">
        <v>190.0</v>
      </c>
      <c r="N334" s="4">
        <v>804.0</v>
      </c>
      <c r="O334" s="4">
        <v>1407.0</v>
      </c>
    </row>
    <row r="335">
      <c r="A335" s="4">
        <v>3.977333714E9</v>
      </c>
      <c r="B335" s="5">
        <v>42489.0</v>
      </c>
      <c r="C335" s="4">
        <v>10645.0</v>
      </c>
      <c r="D335" s="4">
        <v>7.75</v>
      </c>
      <c r="E335" s="4">
        <v>7.75</v>
      </c>
      <c r="F335" s="4">
        <v>0.0</v>
      </c>
      <c r="G335" s="4">
        <v>3.74000000953674</v>
      </c>
      <c r="H335" s="4">
        <v>1.29999995231628</v>
      </c>
      <c r="I335" s="4">
        <v>2.71000003814697</v>
      </c>
      <c r="J335" s="4">
        <v>0.0</v>
      </c>
      <c r="K335" s="4">
        <v>36.0</v>
      </c>
      <c r="L335" s="4">
        <v>32.0</v>
      </c>
      <c r="M335" s="4">
        <v>150.0</v>
      </c>
      <c r="N335" s="4">
        <v>744.0</v>
      </c>
      <c r="O335" s="4">
        <v>1545.0</v>
      </c>
    </row>
    <row r="336">
      <c r="A336" s="4">
        <v>3.977333714E9</v>
      </c>
      <c r="B336" s="5">
        <v>42490.0</v>
      </c>
      <c r="C336" s="4">
        <v>13238.0</v>
      </c>
      <c r="D336" s="4">
        <v>9.19999980926514</v>
      </c>
      <c r="E336" s="4">
        <v>9.19999980926514</v>
      </c>
      <c r="F336" s="4">
        <v>0.0</v>
      </c>
      <c r="G336" s="4">
        <v>3.69000005722046</v>
      </c>
      <c r="H336" s="4">
        <v>2.09999990463257</v>
      </c>
      <c r="I336" s="4">
        <v>3.41000008583069</v>
      </c>
      <c r="J336" s="4">
        <v>0.0</v>
      </c>
      <c r="K336" s="4">
        <v>43.0</v>
      </c>
      <c r="L336" s="4">
        <v>52.0</v>
      </c>
      <c r="M336" s="4">
        <v>194.0</v>
      </c>
      <c r="N336" s="4">
        <v>687.0</v>
      </c>
      <c r="O336" s="4">
        <v>1650.0</v>
      </c>
    </row>
    <row r="337">
      <c r="A337" s="4">
        <v>3.977333714E9</v>
      </c>
      <c r="B337" s="5">
        <v>42491.0</v>
      </c>
      <c r="C337" s="4">
        <v>10414.0</v>
      </c>
      <c r="D337" s="4">
        <v>7.07000017166138</v>
      </c>
      <c r="E337" s="4">
        <v>7.07000017166138</v>
      </c>
      <c r="F337" s="4">
        <v>0.0</v>
      </c>
      <c r="G337" s="4">
        <v>2.67000007629395</v>
      </c>
      <c r="H337" s="4">
        <v>1.98000001907349</v>
      </c>
      <c r="I337" s="4">
        <v>2.41000008583069</v>
      </c>
      <c r="J337" s="4">
        <v>0.0</v>
      </c>
      <c r="K337" s="4">
        <v>41.0</v>
      </c>
      <c r="L337" s="4">
        <v>40.0</v>
      </c>
      <c r="M337" s="4">
        <v>124.0</v>
      </c>
      <c r="N337" s="4">
        <v>691.0</v>
      </c>
      <c r="O337" s="4">
        <v>1501.0</v>
      </c>
    </row>
    <row r="338">
      <c r="A338" s="4">
        <v>3.977333714E9</v>
      </c>
      <c r="B338" s="5">
        <v>42492.0</v>
      </c>
      <c r="C338" s="4">
        <v>16520.0</v>
      </c>
      <c r="D338" s="4">
        <v>11.0500001907349</v>
      </c>
      <c r="E338" s="4">
        <v>11.0500001907349</v>
      </c>
      <c r="F338" s="4">
        <v>0.0</v>
      </c>
      <c r="G338" s="4">
        <v>1.53999996185303</v>
      </c>
      <c r="H338" s="4">
        <v>6.48000001907349</v>
      </c>
      <c r="I338" s="4">
        <v>3.01999998092651</v>
      </c>
      <c r="J338" s="4">
        <v>0.0</v>
      </c>
      <c r="K338" s="4">
        <v>24.0</v>
      </c>
      <c r="L338" s="4">
        <v>143.0</v>
      </c>
      <c r="M338" s="4">
        <v>176.0</v>
      </c>
      <c r="N338" s="4">
        <v>713.0</v>
      </c>
      <c r="O338" s="4">
        <v>1760.0</v>
      </c>
    </row>
    <row r="339">
      <c r="A339" s="4">
        <v>3.977333714E9</v>
      </c>
      <c r="B339" s="5">
        <v>42493.0</v>
      </c>
      <c r="C339" s="4">
        <v>14335.0</v>
      </c>
      <c r="D339" s="4">
        <v>9.59000015258789</v>
      </c>
      <c r="E339" s="4">
        <v>9.59000015258789</v>
      </c>
      <c r="F339" s="4">
        <v>0.0</v>
      </c>
      <c r="G339" s="4">
        <v>3.3199999332428</v>
      </c>
      <c r="H339" s="4">
        <v>1.74000000953674</v>
      </c>
      <c r="I339" s="4">
        <v>4.53000020980835</v>
      </c>
      <c r="J339" s="4">
        <v>0.0</v>
      </c>
      <c r="K339" s="4">
        <v>47.0</v>
      </c>
      <c r="L339" s="4">
        <v>41.0</v>
      </c>
      <c r="M339" s="4">
        <v>258.0</v>
      </c>
      <c r="N339" s="4">
        <v>594.0</v>
      </c>
      <c r="O339" s="4">
        <v>1710.0</v>
      </c>
    </row>
    <row r="340">
      <c r="A340" s="4">
        <v>3.977333714E9</v>
      </c>
      <c r="B340" s="5">
        <v>42494.0</v>
      </c>
      <c r="C340" s="4">
        <v>13559.0</v>
      </c>
      <c r="D340" s="4">
        <v>9.4399995803833</v>
      </c>
      <c r="E340" s="4">
        <v>9.4399995803833</v>
      </c>
      <c r="F340" s="4">
        <v>0.0</v>
      </c>
      <c r="G340" s="4">
        <v>1.80999994277954</v>
      </c>
      <c r="H340" s="4">
        <v>4.57999992370605</v>
      </c>
      <c r="I340" s="4">
        <v>2.89000010490417</v>
      </c>
      <c r="J340" s="4">
        <v>0.0</v>
      </c>
      <c r="K340" s="4">
        <v>14.0</v>
      </c>
      <c r="L340" s="4">
        <v>96.0</v>
      </c>
      <c r="M340" s="4">
        <v>142.0</v>
      </c>
      <c r="N340" s="4">
        <v>852.0</v>
      </c>
      <c r="O340" s="4">
        <v>1628.0</v>
      </c>
    </row>
    <row r="341">
      <c r="A341" s="4">
        <v>3.977333714E9</v>
      </c>
      <c r="B341" s="5">
        <v>42495.0</v>
      </c>
      <c r="C341" s="4">
        <v>12312.0</v>
      </c>
      <c r="D341" s="4">
        <v>8.57999992370605</v>
      </c>
      <c r="E341" s="4">
        <v>8.57999992370605</v>
      </c>
      <c r="F341" s="4">
        <v>0.0</v>
      </c>
      <c r="G341" s="4">
        <v>1.75999999046326</v>
      </c>
      <c r="H341" s="4">
        <v>4.1100001335144</v>
      </c>
      <c r="I341" s="4">
        <v>2.71000003814697</v>
      </c>
      <c r="J341" s="4">
        <v>0.0</v>
      </c>
      <c r="K341" s="4">
        <v>14.0</v>
      </c>
      <c r="L341" s="4">
        <v>88.0</v>
      </c>
      <c r="M341" s="4">
        <v>178.0</v>
      </c>
      <c r="N341" s="4">
        <v>680.0</v>
      </c>
      <c r="O341" s="4">
        <v>1618.0</v>
      </c>
    </row>
    <row r="342">
      <c r="A342" s="4">
        <v>3.977333714E9</v>
      </c>
      <c r="B342" s="5">
        <v>42496.0</v>
      </c>
      <c r="C342" s="4">
        <v>11677.0</v>
      </c>
      <c r="D342" s="4">
        <v>8.27999973297119</v>
      </c>
      <c r="E342" s="4">
        <v>8.27999973297119</v>
      </c>
      <c r="F342" s="4">
        <v>0.0</v>
      </c>
      <c r="G342" s="4">
        <v>3.10999989509583</v>
      </c>
      <c r="H342" s="4">
        <v>2.50999999046326</v>
      </c>
      <c r="I342" s="4">
        <v>2.67000007629395</v>
      </c>
      <c r="J342" s="4">
        <v>0.0</v>
      </c>
      <c r="K342" s="4">
        <v>29.0</v>
      </c>
      <c r="L342" s="4">
        <v>55.0</v>
      </c>
      <c r="M342" s="4">
        <v>168.0</v>
      </c>
      <c r="N342" s="4">
        <v>676.0</v>
      </c>
      <c r="O342" s="4">
        <v>1590.0</v>
      </c>
    </row>
    <row r="343">
      <c r="A343" s="4">
        <v>3.977333714E9</v>
      </c>
      <c r="B343" s="5">
        <v>42497.0</v>
      </c>
      <c r="C343" s="4">
        <v>11550.0</v>
      </c>
      <c r="D343" s="4">
        <v>7.73000001907349</v>
      </c>
      <c r="E343" s="4">
        <v>7.73000001907349</v>
      </c>
      <c r="F343" s="4">
        <v>0.0</v>
      </c>
      <c r="G343" s="4">
        <v>0.0</v>
      </c>
      <c r="H343" s="4">
        <v>4.13000011444092</v>
      </c>
      <c r="I343" s="4">
        <v>3.58999991416931</v>
      </c>
      <c r="J343" s="4">
        <v>0.0</v>
      </c>
      <c r="K343" s="4">
        <v>0.0</v>
      </c>
      <c r="L343" s="4">
        <v>86.0</v>
      </c>
      <c r="M343" s="4">
        <v>208.0</v>
      </c>
      <c r="N343" s="4">
        <v>703.0</v>
      </c>
      <c r="O343" s="4">
        <v>1574.0</v>
      </c>
    </row>
    <row r="344">
      <c r="A344" s="4">
        <v>3.977333714E9</v>
      </c>
      <c r="B344" s="5">
        <v>42498.0</v>
      </c>
      <c r="C344" s="4">
        <v>13585.0</v>
      </c>
      <c r="D344" s="4">
        <v>9.09000015258789</v>
      </c>
      <c r="E344" s="4">
        <v>9.09000015258789</v>
      </c>
      <c r="F344" s="4">
        <v>0.0</v>
      </c>
      <c r="G344" s="4">
        <v>0.680000007152557</v>
      </c>
      <c r="H344" s="4">
        <v>5.23999977111816</v>
      </c>
      <c r="I344" s="4">
        <v>3.17000007629395</v>
      </c>
      <c r="J344" s="4">
        <v>0.0</v>
      </c>
      <c r="K344" s="4">
        <v>9.0</v>
      </c>
      <c r="L344" s="4">
        <v>116.0</v>
      </c>
      <c r="M344" s="4">
        <v>171.0</v>
      </c>
      <c r="N344" s="4">
        <v>688.0</v>
      </c>
      <c r="O344" s="4">
        <v>1633.0</v>
      </c>
    </row>
    <row r="345">
      <c r="A345" s="4">
        <v>3.977333714E9</v>
      </c>
      <c r="B345" s="5">
        <v>42499.0</v>
      </c>
      <c r="C345" s="4">
        <v>14687.0</v>
      </c>
      <c r="D345" s="4">
        <v>10.0799999237061</v>
      </c>
      <c r="E345" s="4">
        <v>10.0799999237061</v>
      </c>
      <c r="F345" s="4">
        <v>0.0</v>
      </c>
      <c r="G345" s="4">
        <v>0.769999980926514</v>
      </c>
      <c r="H345" s="4">
        <v>5.59999990463257</v>
      </c>
      <c r="I345" s="4">
        <v>3.54999995231628</v>
      </c>
      <c r="J345" s="4">
        <v>0.0</v>
      </c>
      <c r="K345" s="4">
        <v>8.0</v>
      </c>
      <c r="L345" s="4">
        <v>122.0</v>
      </c>
      <c r="M345" s="4">
        <v>151.0</v>
      </c>
      <c r="N345" s="4">
        <v>1159.0</v>
      </c>
      <c r="O345" s="4">
        <v>1667.0</v>
      </c>
    </row>
    <row r="346">
      <c r="A346" s="4">
        <v>3.977333714E9</v>
      </c>
      <c r="B346" s="5">
        <v>42500.0</v>
      </c>
      <c r="C346" s="4">
        <v>13072.0</v>
      </c>
      <c r="D346" s="4">
        <v>8.77999973297119</v>
      </c>
      <c r="E346" s="4">
        <v>8.77999973297119</v>
      </c>
      <c r="F346" s="4">
        <v>0.0</v>
      </c>
      <c r="G346" s="4">
        <v>0.0700000002980232</v>
      </c>
      <c r="H346" s="4">
        <v>5.40000009536743</v>
      </c>
      <c r="I346" s="4">
        <v>3.30999994277954</v>
      </c>
      <c r="J346" s="4">
        <v>0.0</v>
      </c>
      <c r="K346" s="4">
        <v>1.0</v>
      </c>
      <c r="L346" s="4">
        <v>115.0</v>
      </c>
      <c r="M346" s="4">
        <v>196.0</v>
      </c>
      <c r="N346" s="4">
        <v>676.0</v>
      </c>
      <c r="O346" s="4">
        <v>1630.0</v>
      </c>
    </row>
    <row r="347">
      <c r="A347" s="4">
        <v>3.977333714E9</v>
      </c>
      <c r="B347" s="5">
        <v>42501.0</v>
      </c>
      <c r="C347" s="4">
        <v>746.0</v>
      </c>
      <c r="D347" s="4">
        <v>0.5</v>
      </c>
      <c r="E347" s="4">
        <v>0.5</v>
      </c>
      <c r="F347" s="4">
        <v>0.0</v>
      </c>
      <c r="G347" s="4">
        <v>0.370000004768372</v>
      </c>
      <c r="H347" s="4">
        <v>0.0</v>
      </c>
      <c r="I347" s="4">
        <v>0.129999995231628</v>
      </c>
      <c r="J347" s="4">
        <v>0.0</v>
      </c>
      <c r="K347" s="4">
        <v>4.0</v>
      </c>
      <c r="L347" s="4">
        <v>0.0</v>
      </c>
      <c r="M347" s="4">
        <v>9.0</v>
      </c>
      <c r="N347" s="4">
        <v>13.0</v>
      </c>
      <c r="O347" s="4">
        <v>52.0</v>
      </c>
    </row>
    <row r="348">
      <c r="A348" s="4">
        <v>4.02033265E9</v>
      </c>
      <c r="B348" s="5">
        <v>42472.0</v>
      </c>
      <c r="C348" s="4">
        <v>8539.0</v>
      </c>
      <c r="D348" s="4">
        <v>6.11999988555908</v>
      </c>
      <c r="E348" s="4">
        <v>6.11999988555908</v>
      </c>
      <c r="F348" s="4">
        <v>0.0</v>
      </c>
      <c r="G348" s="4">
        <v>0.150000005960464</v>
      </c>
      <c r="H348" s="4">
        <v>0.239999994635582</v>
      </c>
      <c r="I348" s="4">
        <v>5.67999982833862</v>
      </c>
      <c r="J348" s="4">
        <v>0.0</v>
      </c>
      <c r="K348" s="4">
        <v>4.0</v>
      </c>
      <c r="L348" s="4">
        <v>15.0</v>
      </c>
      <c r="M348" s="4">
        <v>331.0</v>
      </c>
      <c r="N348" s="4">
        <v>712.0</v>
      </c>
      <c r="O348" s="4">
        <v>3654.0</v>
      </c>
    </row>
    <row r="349">
      <c r="A349" s="4">
        <v>4.02033265E9</v>
      </c>
      <c r="B349" s="5">
        <v>42473.0</v>
      </c>
      <c r="C349" s="4">
        <v>0.0</v>
      </c>
      <c r="D349" s="4">
        <v>0.0</v>
      </c>
      <c r="E349" s="4">
        <v>0.0</v>
      </c>
      <c r="F349" s="4">
        <v>0.0</v>
      </c>
      <c r="G349" s="4">
        <v>0.0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1440.0</v>
      </c>
      <c r="O349" s="4">
        <v>1981.0</v>
      </c>
    </row>
    <row r="350">
      <c r="A350" s="4">
        <v>4.02033265E9</v>
      </c>
      <c r="B350" s="5">
        <v>42474.0</v>
      </c>
      <c r="C350" s="4">
        <v>108.0</v>
      </c>
      <c r="D350" s="4">
        <v>0.0799999982118607</v>
      </c>
      <c r="E350" s="4">
        <v>0.0799999982118607</v>
      </c>
      <c r="F350" s="4">
        <v>0.0</v>
      </c>
      <c r="G350" s="4">
        <v>0.0</v>
      </c>
      <c r="H350" s="4">
        <v>0.0</v>
      </c>
      <c r="I350" s="4">
        <v>0.0299999993294477</v>
      </c>
      <c r="J350" s="4">
        <v>0.0</v>
      </c>
      <c r="K350" s="4">
        <v>0.0</v>
      </c>
      <c r="L350" s="4">
        <v>0.0</v>
      </c>
      <c r="M350" s="4">
        <v>3.0</v>
      </c>
      <c r="N350" s="4">
        <v>1437.0</v>
      </c>
      <c r="O350" s="4">
        <v>2011.0</v>
      </c>
    </row>
    <row r="351">
      <c r="A351" s="4">
        <v>4.02033265E9</v>
      </c>
      <c r="B351" s="5">
        <v>42475.0</v>
      </c>
      <c r="C351" s="4">
        <v>1882.0</v>
      </c>
      <c r="D351" s="4">
        <v>1.35000002384186</v>
      </c>
      <c r="E351" s="4">
        <v>1.35000002384186</v>
      </c>
      <c r="F351" s="4">
        <v>0.0</v>
      </c>
      <c r="G351" s="4">
        <v>0.209999993443489</v>
      </c>
      <c r="H351" s="4">
        <v>0.360000014305115</v>
      </c>
      <c r="I351" s="4">
        <v>0.769999980926514</v>
      </c>
      <c r="J351" s="4">
        <v>0.0</v>
      </c>
      <c r="K351" s="4">
        <v>36.0</v>
      </c>
      <c r="L351" s="4">
        <v>18.0</v>
      </c>
      <c r="M351" s="4">
        <v>87.0</v>
      </c>
      <c r="N351" s="4">
        <v>1299.0</v>
      </c>
      <c r="O351" s="4">
        <v>2951.0</v>
      </c>
    </row>
    <row r="352">
      <c r="A352" s="4">
        <v>4.02033265E9</v>
      </c>
      <c r="B352" s="5">
        <v>42476.0</v>
      </c>
      <c r="C352" s="4">
        <v>1982.0</v>
      </c>
      <c r="D352" s="4">
        <v>1.41999995708466</v>
      </c>
      <c r="E352" s="4">
        <v>1.41999995708466</v>
      </c>
      <c r="F352" s="4">
        <v>0.0</v>
      </c>
      <c r="G352" s="4">
        <v>0.449999988079071</v>
      </c>
      <c r="H352" s="4">
        <v>0.370000004768372</v>
      </c>
      <c r="I352" s="4">
        <v>0.589999973773956</v>
      </c>
      <c r="J352" s="4">
        <v>0.0</v>
      </c>
      <c r="K352" s="4">
        <v>65.0</v>
      </c>
      <c r="L352" s="4">
        <v>21.0</v>
      </c>
      <c r="M352" s="4">
        <v>55.0</v>
      </c>
      <c r="N352" s="4">
        <v>1222.0</v>
      </c>
      <c r="O352" s="4">
        <v>3051.0</v>
      </c>
    </row>
    <row r="353">
      <c r="A353" s="4">
        <v>4.02033265E9</v>
      </c>
      <c r="B353" s="5">
        <v>42477.0</v>
      </c>
      <c r="C353" s="4">
        <v>16.0</v>
      </c>
      <c r="D353" s="4">
        <v>0.00999999977648258</v>
      </c>
      <c r="E353" s="4">
        <v>0.00999999977648258</v>
      </c>
      <c r="F353" s="4">
        <v>0.0</v>
      </c>
      <c r="G353" s="4">
        <v>0.0</v>
      </c>
      <c r="H353" s="4">
        <v>0.0</v>
      </c>
      <c r="I353" s="4">
        <v>0.00999999977648258</v>
      </c>
      <c r="J353" s="4">
        <v>0.0</v>
      </c>
      <c r="K353" s="4">
        <v>0.0</v>
      </c>
      <c r="L353" s="4">
        <v>0.0</v>
      </c>
      <c r="M353" s="4">
        <v>2.0</v>
      </c>
      <c r="N353" s="4">
        <v>1438.0</v>
      </c>
      <c r="O353" s="4">
        <v>1990.0</v>
      </c>
    </row>
    <row r="354">
      <c r="A354" s="4">
        <v>4.02033265E9</v>
      </c>
      <c r="B354" s="5">
        <v>42478.0</v>
      </c>
      <c r="C354" s="4">
        <v>62.0</v>
      </c>
      <c r="D354" s="4">
        <v>0.0399999991059303</v>
      </c>
      <c r="E354" s="4">
        <v>0.0399999991059303</v>
      </c>
      <c r="F354" s="4">
        <v>0.0</v>
      </c>
      <c r="G354" s="4">
        <v>0.0</v>
      </c>
      <c r="H354" s="4">
        <v>0.0</v>
      </c>
      <c r="I354" s="4">
        <v>0.0399999991059303</v>
      </c>
      <c r="J354" s="4">
        <v>0.0</v>
      </c>
      <c r="K354" s="4">
        <v>0.0</v>
      </c>
      <c r="L354" s="4">
        <v>0.0</v>
      </c>
      <c r="M354" s="4">
        <v>2.0</v>
      </c>
      <c r="N354" s="4">
        <v>1438.0</v>
      </c>
      <c r="O354" s="4">
        <v>1995.0</v>
      </c>
    </row>
    <row r="355">
      <c r="A355" s="4">
        <v>4.02033265E9</v>
      </c>
      <c r="B355" s="5">
        <v>42479.0</v>
      </c>
      <c r="C355" s="4">
        <v>0.0</v>
      </c>
      <c r="D355" s="4">
        <v>0.0</v>
      </c>
      <c r="E355" s="4">
        <v>0.0</v>
      </c>
      <c r="F355" s="4">
        <v>0.0</v>
      </c>
      <c r="G355" s="4">
        <v>0.0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1440.0</v>
      </c>
      <c r="O355" s="4">
        <v>1980.0</v>
      </c>
    </row>
    <row r="356">
      <c r="A356" s="4">
        <v>4.02033265E9</v>
      </c>
      <c r="B356" s="5">
        <v>42480.0</v>
      </c>
      <c r="C356" s="4">
        <v>0.0</v>
      </c>
      <c r="D356" s="4">
        <v>0.0</v>
      </c>
      <c r="E356" s="4">
        <v>0.0</v>
      </c>
      <c r="F356" s="4">
        <v>0.0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1440.0</v>
      </c>
      <c r="O356" s="4">
        <v>1980.0</v>
      </c>
    </row>
    <row r="357">
      <c r="A357" s="4">
        <v>4.02033265E9</v>
      </c>
      <c r="B357" s="5">
        <v>42481.0</v>
      </c>
      <c r="C357" s="4">
        <v>0.0</v>
      </c>
      <c r="D357" s="4">
        <v>0.0</v>
      </c>
      <c r="E357" s="4">
        <v>0.0</v>
      </c>
      <c r="F357" s="4">
        <v>0.0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1440.0</v>
      </c>
      <c r="O357" s="4">
        <v>1980.0</v>
      </c>
    </row>
    <row r="358">
      <c r="A358" s="4">
        <v>4.02033265E9</v>
      </c>
      <c r="B358" s="5">
        <v>42482.0</v>
      </c>
      <c r="C358" s="4">
        <v>0.0</v>
      </c>
      <c r="D358" s="4">
        <v>0.0</v>
      </c>
      <c r="E358" s="4">
        <v>0.0</v>
      </c>
      <c r="F358" s="4">
        <v>0.0</v>
      </c>
      <c r="G358" s="4">
        <v>0.0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1440.0</v>
      </c>
      <c r="O358" s="4">
        <v>1980.0</v>
      </c>
    </row>
    <row r="359">
      <c r="A359" s="4">
        <v>4.02033265E9</v>
      </c>
      <c r="B359" s="5">
        <v>42483.0</v>
      </c>
      <c r="C359" s="4">
        <v>0.0</v>
      </c>
      <c r="D359" s="4">
        <v>0.0</v>
      </c>
      <c r="E359" s="4">
        <v>0.0</v>
      </c>
      <c r="F359" s="4">
        <v>0.0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1440.0</v>
      </c>
      <c r="O359" s="4">
        <v>1980.0</v>
      </c>
    </row>
    <row r="360">
      <c r="A360" s="4">
        <v>4.02033265E9</v>
      </c>
      <c r="B360" s="5">
        <v>42484.0</v>
      </c>
      <c r="C360" s="4">
        <v>0.0</v>
      </c>
      <c r="D360" s="4">
        <v>0.0</v>
      </c>
      <c r="E360" s="4">
        <v>0.0</v>
      </c>
      <c r="F360" s="4">
        <v>0.0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1440.0</v>
      </c>
      <c r="O360" s="4">
        <v>1980.0</v>
      </c>
    </row>
    <row r="361">
      <c r="A361" s="4">
        <v>4.02033265E9</v>
      </c>
      <c r="B361" s="5">
        <v>42485.0</v>
      </c>
      <c r="C361" s="4">
        <v>0.0</v>
      </c>
      <c r="D361" s="4">
        <v>0.0</v>
      </c>
      <c r="E361" s="4">
        <v>0.0</v>
      </c>
      <c r="F361" s="4">
        <v>0.0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1440.0</v>
      </c>
      <c r="O361" s="4">
        <v>1980.0</v>
      </c>
    </row>
    <row r="362">
      <c r="A362" s="4">
        <v>4.02033265E9</v>
      </c>
      <c r="B362" s="5">
        <v>42486.0</v>
      </c>
      <c r="C362" s="4">
        <v>0.0</v>
      </c>
      <c r="D362" s="4">
        <v>0.0</v>
      </c>
      <c r="E362" s="4">
        <v>0.0</v>
      </c>
      <c r="F362" s="4">
        <v>0.0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1440.0</v>
      </c>
      <c r="O362" s="4">
        <v>1980.0</v>
      </c>
    </row>
    <row r="363">
      <c r="A363" s="4">
        <v>4.02033265E9</v>
      </c>
      <c r="B363" s="5">
        <v>42487.0</v>
      </c>
      <c r="C363" s="4">
        <v>0.0</v>
      </c>
      <c r="D363" s="4">
        <v>0.0</v>
      </c>
      <c r="E363" s="4">
        <v>0.0</v>
      </c>
      <c r="F363" s="4">
        <v>0.0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1440.0</v>
      </c>
      <c r="O363" s="4">
        <v>1980.0</v>
      </c>
    </row>
    <row r="364">
      <c r="A364" s="4">
        <v>4.02033265E9</v>
      </c>
      <c r="B364" s="5">
        <v>42488.0</v>
      </c>
      <c r="C364" s="4">
        <v>0.0</v>
      </c>
      <c r="D364" s="4">
        <v>0.0</v>
      </c>
      <c r="E364" s="4">
        <v>0.0</v>
      </c>
      <c r="F364" s="4">
        <v>0.0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1440.0</v>
      </c>
      <c r="O364" s="4">
        <v>1980.0</v>
      </c>
    </row>
    <row r="365">
      <c r="A365" s="4">
        <v>4.02033265E9</v>
      </c>
      <c r="B365" s="5">
        <v>42489.0</v>
      </c>
      <c r="C365" s="4">
        <v>0.0</v>
      </c>
      <c r="D365" s="4">
        <v>0.0</v>
      </c>
      <c r="E365" s="4">
        <v>0.0</v>
      </c>
      <c r="F365" s="4">
        <v>0.0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1440.0</v>
      </c>
      <c r="O365" s="4">
        <v>1980.0</v>
      </c>
    </row>
    <row r="366">
      <c r="A366" s="4">
        <v>4.02033265E9</v>
      </c>
      <c r="B366" s="5">
        <v>42490.0</v>
      </c>
      <c r="C366" s="4">
        <v>0.0</v>
      </c>
      <c r="D366" s="4">
        <v>0.0</v>
      </c>
      <c r="E366" s="4">
        <v>0.0</v>
      </c>
      <c r="F366" s="4">
        <v>0.0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1440.0</v>
      </c>
      <c r="O366" s="4">
        <v>1980.0</v>
      </c>
    </row>
    <row r="367">
      <c r="A367" s="4">
        <v>4.02033265E9</v>
      </c>
      <c r="B367" s="5">
        <v>42491.0</v>
      </c>
      <c r="C367" s="4">
        <v>0.0</v>
      </c>
      <c r="D367" s="4">
        <v>0.0</v>
      </c>
      <c r="E367" s="4">
        <v>0.0</v>
      </c>
      <c r="F367" s="4">
        <v>0.0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1440.0</v>
      </c>
      <c r="O367" s="4">
        <v>1980.0</v>
      </c>
    </row>
    <row r="368">
      <c r="A368" s="4">
        <v>4.02033265E9</v>
      </c>
      <c r="B368" s="5">
        <v>42492.0</v>
      </c>
      <c r="C368" s="4">
        <v>475.0</v>
      </c>
      <c r="D368" s="4">
        <v>0.340000003576279</v>
      </c>
      <c r="E368" s="4">
        <v>0.340000003576279</v>
      </c>
      <c r="F368" s="4">
        <v>0.0</v>
      </c>
      <c r="G368" s="4">
        <v>0.0</v>
      </c>
      <c r="H368" s="4">
        <v>0.0399999991059303</v>
      </c>
      <c r="I368" s="4">
        <v>0.28999999165535</v>
      </c>
      <c r="J368" s="4">
        <v>0.0</v>
      </c>
      <c r="K368" s="4">
        <v>0.0</v>
      </c>
      <c r="L368" s="4">
        <v>11.0</v>
      </c>
      <c r="M368" s="4">
        <v>31.0</v>
      </c>
      <c r="N368" s="4">
        <v>1350.0</v>
      </c>
      <c r="O368" s="4">
        <v>2207.0</v>
      </c>
    </row>
    <row r="369">
      <c r="A369" s="4">
        <v>4.02033265E9</v>
      </c>
      <c r="B369" s="5">
        <v>42493.0</v>
      </c>
      <c r="C369" s="4">
        <v>4496.0</v>
      </c>
      <c r="D369" s="4">
        <v>3.22000002861023</v>
      </c>
      <c r="E369" s="4">
        <v>3.22000002861023</v>
      </c>
      <c r="F369" s="4">
        <v>0.0</v>
      </c>
      <c r="G369" s="4">
        <v>0.0</v>
      </c>
      <c r="H369" s="4">
        <v>0.0</v>
      </c>
      <c r="I369" s="4">
        <v>3.15000009536743</v>
      </c>
      <c r="J369" s="4">
        <v>0.0500000007450581</v>
      </c>
      <c r="K369" s="4">
        <v>0.0</v>
      </c>
      <c r="L369" s="4">
        <v>0.0</v>
      </c>
      <c r="M369" s="4">
        <v>174.0</v>
      </c>
      <c r="N369" s="4">
        <v>950.0</v>
      </c>
      <c r="O369" s="4">
        <v>2828.0</v>
      </c>
    </row>
    <row r="370">
      <c r="A370" s="4">
        <v>4.02033265E9</v>
      </c>
      <c r="B370" s="5">
        <v>42494.0</v>
      </c>
      <c r="C370" s="4">
        <v>10252.0</v>
      </c>
      <c r="D370" s="4">
        <v>7.34999990463257</v>
      </c>
      <c r="E370" s="4">
        <v>7.34999990463257</v>
      </c>
      <c r="F370" s="4">
        <v>0.0</v>
      </c>
      <c r="G370" s="4">
        <v>0.670000016689301</v>
      </c>
      <c r="H370" s="4">
        <v>1.03999996185303</v>
      </c>
      <c r="I370" s="4">
        <v>5.57999992370605</v>
      </c>
      <c r="J370" s="4">
        <v>0.0</v>
      </c>
      <c r="K370" s="4">
        <v>13.0</v>
      </c>
      <c r="L370" s="4">
        <v>46.0</v>
      </c>
      <c r="M370" s="4">
        <v>346.0</v>
      </c>
      <c r="N370" s="4">
        <v>531.0</v>
      </c>
      <c r="O370" s="4">
        <v>3879.0</v>
      </c>
    </row>
    <row r="371">
      <c r="A371" s="4">
        <v>4.02033265E9</v>
      </c>
      <c r="B371" s="5">
        <v>42495.0</v>
      </c>
      <c r="C371" s="4">
        <v>11728.0</v>
      </c>
      <c r="D371" s="4">
        <v>8.43000030517578</v>
      </c>
      <c r="E371" s="4">
        <v>8.43000030517578</v>
      </c>
      <c r="F371" s="4">
        <v>0.0</v>
      </c>
      <c r="G371" s="4">
        <v>2.61999988555908</v>
      </c>
      <c r="H371" s="4">
        <v>1.67999994754791</v>
      </c>
      <c r="I371" s="4">
        <v>4.03999996185303</v>
      </c>
      <c r="J371" s="4">
        <v>0.0700000002980232</v>
      </c>
      <c r="K371" s="4">
        <v>38.0</v>
      </c>
      <c r="L371" s="4">
        <v>42.0</v>
      </c>
      <c r="M371" s="4">
        <v>196.0</v>
      </c>
      <c r="N371" s="4">
        <v>916.0</v>
      </c>
      <c r="O371" s="4">
        <v>3429.0</v>
      </c>
    </row>
    <row r="372">
      <c r="A372" s="4">
        <v>4.02033265E9</v>
      </c>
      <c r="B372" s="5">
        <v>42496.0</v>
      </c>
      <c r="C372" s="4">
        <v>4369.0</v>
      </c>
      <c r="D372" s="4">
        <v>3.13000011444092</v>
      </c>
      <c r="E372" s="4">
        <v>3.13000011444092</v>
      </c>
      <c r="F372" s="4">
        <v>0.0</v>
      </c>
      <c r="G372" s="4">
        <v>0.0</v>
      </c>
      <c r="H372" s="4">
        <v>0.0</v>
      </c>
      <c r="I372" s="4">
        <v>3.09999990463257</v>
      </c>
      <c r="J372" s="4">
        <v>0.00999999977648258</v>
      </c>
      <c r="K372" s="4">
        <v>0.0</v>
      </c>
      <c r="L372" s="4">
        <v>0.0</v>
      </c>
      <c r="M372" s="4">
        <v>177.0</v>
      </c>
      <c r="N372" s="4">
        <v>855.0</v>
      </c>
      <c r="O372" s="4">
        <v>2704.0</v>
      </c>
    </row>
    <row r="373">
      <c r="A373" s="4">
        <v>4.02033265E9</v>
      </c>
      <c r="B373" s="5">
        <v>42497.0</v>
      </c>
      <c r="C373" s="4">
        <v>6132.0</v>
      </c>
      <c r="D373" s="4">
        <v>4.40000009536743</v>
      </c>
      <c r="E373" s="4">
        <v>4.40000009536743</v>
      </c>
      <c r="F373" s="4">
        <v>0.0</v>
      </c>
      <c r="G373" s="4">
        <v>0.0</v>
      </c>
      <c r="H373" s="4">
        <v>0.0</v>
      </c>
      <c r="I373" s="4">
        <v>3.57999992370605</v>
      </c>
      <c r="J373" s="4">
        <v>0.0</v>
      </c>
      <c r="K373" s="4">
        <v>0.0</v>
      </c>
      <c r="L373" s="4">
        <v>0.0</v>
      </c>
      <c r="M373" s="4">
        <v>184.0</v>
      </c>
      <c r="N373" s="4">
        <v>1256.0</v>
      </c>
      <c r="O373" s="4">
        <v>2975.0</v>
      </c>
    </row>
    <row r="374">
      <c r="A374" s="4">
        <v>4.02033265E9</v>
      </c>
      <c r="B374" s="5">
        <v>42498.0</v>
      </c>
      <c r="C374" s="4">
        <v>5862.0</v>
      </c>
      <c r="D374" s="4">
        <v>4.19999980926514</v>
      </c>
      <c r="E374" s="4">
        <v>4.19999980926514</v>
      </c>
      <c r="F374" s="4">
        <v>0.0</v>
      </c>
      <c r="G374" s="4">
        <v>0.0</v>
      </c>
      <c r="H374" s="4">
        <v>0.0</v>
      </c>
      <c r="I374" s="4">
        <v>4.15000009536743</v>
      </c>
      <c r="J374" s="4">
        <v>0.0</v>
      </c>
      <c r="K374" s="4">
        <v>0.0</v>
      </c>
      <c r="L374" s="4">
        <v>0.0</v>
      </c>
      <c r="M374" s="4">
        <v>263.0</v>
      </c>
      <c r="N374" s="4">
        <v>775.0</v>
      </c>
      <c r="O374" s="4">
        <v>3089.0</v>
      </c>
    </row>
    <row r="375">
      <c r="A375" s="4">
        <v>4.02033265E9</v>
      </c>
      <c r="B375" s="5">
        <v>42499.0</v>
      </c>
      <c r="C375" s="4">
        <v>4556.0</v>
      </c>
      <c r="D375" s="4">
        <v>3.26999998092651</v>
      </c>
      <c r="E375" s="4">
        <v>3.26999998092651</v>
      </c>
      <c r="F375" s="4">
        <v>0.0</v>
      </c>
      <c r="G375" s="4">
        <v>0.200000002980232</v>
      </c>
      <c r="H375" s="4">
        <v>0.119999997317791</v>
      </c>
      <c r="I375" s="4">
        <v>2.94000005722046</v>
      </c>
      <c r="J375" s="4">
        <v>0.0</v>
      </c>
      <c r="K375" s="4">
        <v>3.0</v>
      </c>
      <c r="L375" s="4">
        <v>5.0</v>
      </c>
      <c r="M375" s="4">
        <v>173.0</v>
      </c>
      <c r="N375" s="4">
        <v>1225.0</v>
      </c>
      <c r="O375" s="4">
        <v>2785.0</v>
      </c>
    </row>
    <row r="376">
      <c r="A376" s="4">
        <v>4.02033265E9</v>
      </c>
      <c r="B376" s="5">
        <v>42500.0</v>
      </c>
      <c r="C376" s="4">
        <v>5546.0</v>
      </c>
      <c r="D376" s="4">
        <v>3.98000001907349</v>
      </c>
      <c r="E376" s="4">
        <v>3.98000001907349</v>
      </c>
      <c r="F376" s="4">
        <v>0.0</v>
      </c>
      <c r="G376" s="4">
        <v>0.0</v>
      </c>
      <c r="H376" s="4">
        <v>0.0</v>
      </c>
      <c r="I376" s="4">
        <v>3.86999988555908</v>
      </c>
      <c r="J376" s="4">
        <v>0.0399999991059303</v>
      </c>
      <c r="K376" s="4">
        <v>0.0</v>
      </c>
      <c r="L376" s="4">
        <v>0.0</v>
      </c>
      <c r="M376" s="4">
        <v>206.0</v>
      </c>
      <c r="N376" s="4">
        <v>774.0</v>
      </c>
      <c r="O376" s="4">
        <v>2926.0</v>
      </c>
    </row>
    <row r="377">
      <c r="A377" s="4">
        <v>4.02033265E9</v>
      </c>
      <c r="B377" s="5">
        <v>42501.0</v>
      </c>
      <c r="C377" s="4">
        <v>3689.0</v>
      </c>
      <c r="D377" s="4">
        <v>2.65000009536743</v>
      </c>
      <c r="E377" s="4">
        <v>2.65000009536743</v>
      </c>
      <c r="F377" s="4">
        <v>0.0</v>
      </c>
      <c r="G377" s="4">
        <v>0.109999999403954</v>
      </c>
      <c r="H377" s="4">
        <v>0.170000001788139</v>
      </c>
      <c r="I377" s="4">
        <v>2.32999992370605</v>
      </c>
      <c r="J377" s="4">
        <v>0.0</v>
      </c>
      <c r="K377" s="4">
        <v>2.0</v>
      </c>
      <c r="L377" s="4">
        <v>8.0</v>
      </c>
      <c r="M377" s="4">
        <v>134.0</v>
      </c>
      <c r="N377" s="4">
        <v>1296.0</v>
      </c>
      <c r="O377" s="4">
        <v>2645.0</v>
      </c>
    </row>
    <row r="378">
      <c r="A378" s="4">
        <v>4.02033265E9</v>
      </c>
      <c r="B378" s="5">
        <v>42502.0</v>
      </c>
      <c r="C378" s="4">
        <v>590.0</v>
      </c>
      <c r="D378" s="4">
        <v>0.419999986886978</v>
      </c>
      <c r="E378" s="4">
        <v>0.419999986886978</v>
      </c>
      <c r="F378" s="4">
        <v>0.0</v>
      </c>
      <c r="G378" s="4">
        <v>0.0</v>
      </c>
      <c r="H378" s="4">
        <v>0.0</v>
      </c>
      <c r="I378" s="4">
        <v>0.409999996423721</v>
      </c>
      <c r="J378" s="4">
        <v>0.0</v>
      </c>
      <c r="K378" s="4">
        <v>0.0</v>
      </c>
      <c r="L378" s="4">
        <v>0.0</v>
      </c>
      <c r="M378" s="4">
        <v>21.0</v>
      </c>
      <c r="N378" s="4">
        <v>721.0</v>
      </c>
      <c r="O378" s="4">
        <v>1120.0</v>
      </c>
    </row>
    <row r="379">
      <c r="A379" s="4">
        <v>4.057192912E9</v>
      </c>
      <c r="B379" s="5">
        <v>42472.0</v>
      </c>
      <c r="C379" s="4">
        <v>5394.0</v>
      </c>
      <c r="D379" s="4">
        <v>4.03000020980835</v>
      </c>
      <c r="E379" s="4">
        <v>4.03000020980835</v>
      </c>
      <c r="F379" s="4">
        <v>0.0</v>
      </c>
      <c r="G379" s="4">
        <v>0.0</v>
      </c>
      <c r="H379" s="4">
        <v>0.0</v>
      </c>
      <c r="I379" s="4">
        <v>3.94000005722046</v>
      </c>
      <c r="J379" s="4">
        <v>0.0</v>
      </c>
      <c r="K379" s="4">
        <v>0.0</v>
      </c>
      <c r="L379" s="4">
        <v>0.0</v>
      </c>
      <c r="M379" s="4">
        <v>164.0</v>
      </c>
      <c r="N379" s="4">
        <v>1276.0</v>
      </c>
      <c r="O379" s="4">
        <v>2286.0</v>
      </c>
    </row>
    <row r="380">
      <c r="A380" s="4">
        <v>4.057192912E9</v>
      </c>
      <c r="B380" s="5">
        <v>42473.0</v>
      </c>
      <c r="C380" s="4">
        <v>5974.0</v>
      </c>
      <c r="D380" s="4">
        <v>4.46999979019165</v>
      </c>
      <c r="E380" s="4">
        <v>4.46999979019165</v>
      </c>
      <c r="F380" s="4">
        <v>0.0</v>
      </c>
      <c r="G380" s="4">
        <v>0.0</v>
      </c>
      <c r="H380" s="4">
        <v>0.0</v>
      </c>
      <c r="I380" s="4">
        <v>4.36999988555908</v>
      </c>
      <c r="J380" s="4">
        <v>0.0</v>
      </c>
      <c r="K380" s="4">
        <v>0.0</v>
      </c>
      <c r="L380" s="4">
        <v>0.0</v>
      </c>
      <c r="M380" s="4">
        <v>160.0</v>
      </c>
      <c r="N380" s="4">
        <v>1280.0</v>
      </c>
      <c r="O380" s="4">
        <v>2306.0</v>
      </c>
    </row>
    <row r="381">
      <c r="A381" s="4">
        <v>4.057192912E9</v>
      </c>
      <c r="B381" s="5">
        <v>42474.0</v>
      </c>
      <c r="C381" s="4">
        <v>0.0</v>
      </c>
      <c r="D381" s="4">
        <v>0.0</v>
      </c>
      <c r="E381" s="4">
        <v>0.0</v>
      </c>
      <c r="F381" s="4">
        <v>0.0</v>
      </c>
      <c r="G381" s="4">
        <v>0.0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1440.0</v>
      </c>
      <c r="O381" s="4">
        <v>1776.0</v>
      </c>
    </row>
    <row r="382">
      <c r="A382" s="4">
        <v>4.057192912E9</v>
      </c>
      <c r="B382" s="5">
        <v>42475.0</v>
      </c>
      <c r="C382" s="4">
        <v>3984.0</v>
      </c>
      <c r="D382" s="4">
        <v>2.95000004768372</v>
      </c>
      <c r="E382" s="4">
        <v>2.95000004768372</v>
      </c>
      <c r="F382" s="4">
        <v>0.0</v>
      </c>
      <c r="G382" s="4">
        <v>0.209999993443489</v>
      </c>
      <c r="H382" s="4">
        <v>0.259999990463257</v>
      </c>
      <c r="I382" s="4">
        <v>2.44000005722046</v>
      </c>
      <c r="J382" s="4">
        <v>0.0</v>
      </c>
      <c r="K382" s="4">
        <v>3.0</v>
      </c>
      <c r="L382" s="4">
        <v>6.0</v>
      </c>
      <c r="M382" s="4">
        <v>88.0</v>
      </c>
      <c r="N382" s="4">
        <v>873.0</v>
      </c>
      <c r="O382" s="4">
        <v>1527.0</v>
      </c>
    </row>
    <row r="383">
      <c r="A383" s="4">
        <v>4.319703577E9</v>
      </c>
      <c r="B383" s="5">
        <v>42472.0</v>
      </c>
      <c r="C383" s="4">
        <v>7753.0</v>
      </c>
      <c r="D383" s="4">
        <v>5.19999980926514</v>
      </c>
      <c r="E383" s="4">
        <v>5.19999980926514</v>
      </c>
      <c r="F383" s="4">
        <v>0.0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1440.0</v>
      </c>
      <c r="O383" s="4">
        <v>2115.0</v>
      </c>
    </row>
    <row r="384">
      <c r="A384" s="4">
        <v>4.319703577E9</v>
      </c>
      <c r="B384" s="5">
        <v>42473.0</v>
      </c>
      <c r="C384" s="4">
        <v>8204.0</v>
      </c>
      <c r="D384" s="4">
        <v>5.5</v>
      </c>
      <c r="E384" s="4">
        <v>5.5</v>
      </c>
      <c r="F384" s="4">
        <v>0.0</v>
      </c>
      <c r="G384" s="4">
        <v>0.529999971389771</v>
      </c>
      <c r="H384" s="4">
        <v>0.589999973773956</v>
      </c>
      <c r="I384" s="4">
        <v>1.30999994277954</v>
      </c>
      <c r="J384" s="4">
        <v>0.0</v>
      </c>
      <c r="K384" s="4">
        <v>8.0</v>
      </c>
      <c r="L384" s="4">
        <v>15.0</v>
      </c>
      <c r="M384" s="4">
        <v>96.0</v>
      </c>
      <c r="N384" s="4">
        <v>1234.0</v>
      </c>
      <c r="O384" s="4">
        <v>2135.0</v>
      </c>
    </row>
    <row r="385">
      <c r="A385" s="4">
        <v>4.319703577E9</v>
      </c>
      <c r="B385" s="5">
        <v>42474.0</v>
      </c>
      <c r="C385" s="4">
        <v>10210.0</v>
      </c>
      <c r="D385" s="4">
        <v>6.88000011444092</v>
      </c>
      <c r="E385" s="4">
        <v>6.88000011444092</v>
      </c>
      <c r="F385" s="4">
        <v>0.0</v>
      </c>
      <c r="G385" s="4">
        <v>0.109999999403954</v>
      </c>
      <c r="H385" s="4">
        <v>0.330000013113022</v>
      </c>
      <c r="I385" s="4">
        <v>6.44000005722046</v>
      </c>
      <c r="J385" s="4">
        <v>0.0</v>
      </c>
      <c r="K385" s="4">
        <v>1.0</v>
      </c>
      <c r="L385" s="4">
        <v>9.0</v>
      </c>
      <c r="M385" s="4">
        <v>339.0</v>
      </c>
      <c r="N385" s="4">
        <v>589.0</v>
      </c>
      <c r="O385" s="4">
        <v>2302.0</v>
      </c>
    </row>
    <row r="386">
      <c r="A386" s="4">
        <v>4.319703577E9</v>
      </c>
      <c r="B386" s="5">
        <v>42475.0</v>
      </c>
      <c r="C386" s="4">
        <v>5664.0</v>
      </c>
      <c r="D386" s="4">
        <v>3.79999995231628</v>
      </c>
      <c r="E386" s="4">
        <v>3.79999995231628</v>
      </c>
      <c r="F386" s="4">
        <v>0.0</v>
      </c>
      <c r="G386" s="4">
        <v>0.0</v>
      </c>
      <c r="H386" s="4">
        <v>0.0</v>
      </c>
      <c r="I386" s="4">
        <v>3.79999995231628</v>
      </c>
      <c r="J386" s="4">
        <v>0.0</v>
      </c>
      <c r="K386" s="4">
        <v>0.0</v>
      </c>
      <c r="L386" s="4">
        <v>0.0</v>
      </c>
      <c r="M386" s="4">
        <v>228.0</v>
      </c>
      <c r="N386" s="4">
        <v>752.0</v>
      </c>
      <c r="O386" s="4">
        <v>1985.0</v>
      </c>
    </row>
    <row r="387">
      <c r="A387" s="4">
        <v>4.319703577E9</v>
      </c>
      <c r="B387" s="5">
        <v>42476.0</v>
      </c>
      <c r="C387" s="4">
        <v>4744.0</v>
      </c>
      <c r="D387" s="4">
        <v>3.1800000667572</v>
      </c>
      <c r="E387" s="4">
        <v>3.1800000667572</v>
      </c>
      <c r="F387" s="4">
        <v>0.0</v>
      </c>
      <c r="G387" s="4">
        <v>0.0</v>
      </c>
      <c r="H387" s="4">
        <v>0.0</v>
      </c>
      <c r="I387" s="4">
        <v>3.1800000667572</v>
      </c>
      <c r="J387" s="4">
        <v>0.0</v>
      </c>
      <c r="K387" s="4">
        <v>0.0</v>
      </c>
      <c r="L387" s="4">
        <v>0.0</v>
      </c>
      <c r="M387" s="4">
        <v>194.0</v>
      </c>
      <c r="N387" s="4">
        <v>724.0</v>
      </c>
      <c r="O387" s="4">
        <v>1884.0</v>
      </c>
    </row>
    <row r="388">
      <c r="A388" s="4">
        <v>4.319703577E9</v>
      </c>
      <c r="B388" s="5">
        <v>42477.0</v>
      </c>
      <c r="C388" s="4">
        <v>29.0</v>
      </c>
      <c r="D388" s="4">
        <v>0.0199999995529652</v>
      </c>
      <c r="E388" s="4">
        <v>0.0199999995529652</v>
      </c>
      <c r="F388" s="4">
        <v>0.0</v>
      </c>
      <c r="G388" s="4">
        <v>0.0</v>
      </c>
      <c r="H388" s="4">
        <v>0.0</v>
      </c>
      <c r="I388" s="4">
        <v>0.0199999995529652</v>
      </c>
      <c r="J388" s="4">
        <v>0.0</v>
      </c>
      <c r="K388" s="4">
        <v>0.0</v>
      </c>
      <c r="L388" s="4">
        <v>0.0</v>
      </c>
      <c r="M388" s="4">
        <v>3.0</v>
      </c>
      <c r="N388" s="4">
        <v>1363.0</v>
      </c>
      <c r="O388" s="4">
        <v>1464.0</v>
      </c>
    </row>
    <row r="389">
      <c r="A389" s="4">
        <v>4.319703577E9</v>
      </c>
      <c r="B389" s="5">
        <v>42478.0</v>
      </c>
      <c r="C389" s="4">
        <v>2276.0</v>
      </c>
      <c r="D389" s="4">
        <v>1.54999995231628</v>
      </c>
      <c r="E389" s="4">
        <v>1.54999995231628</v>
      </c>
      <c r="F389" s="4">
        <v>0.0</v>
      </c>
      <c r="G389" s="4">
        <v>0.0700000002980232</v>
      </c>
      <c r="H389" s="4">
        <v>0.330000013113022</v>
      </c>
      <c r="I389" s="4">
        <v>1.12000000476837</v>
      </c>
      <c r="J389" s="4">
        <v>0.0</v>
      </c>
      <c r="K389" s="4">
        <v>1.0</v>
      </c>
      <c r="L389" s="4">
        <v>9.0</v>
      </c>
      <c r="M389" s="4">
        <v>58.0</v>
      </c>
      <c r="N389" s="4">
        <v>824.0</v>
      </c>
      <c r="O389" s="4">
        <v>1632.0</v>
      </c>
    </row>
    <row r="390">
      <c r="A390" s="4">
        <v>4.319703577E9</v>
      </c>
      <c r="B390" s="5">
        <v>42479.0</v>
      </c>
      <c r="C390" s="4">
        <v>8925.0</v>
      </c>
      <c r="D390" s="4">
        <v>5.98999977111816</v>
      </c>
      <c r="E390" s="4">
        <v>5.98999977111816</v>
      </c>
      <c r="F390" s="4">
        <v>0.0</v>
      </c>
      <c r="G390" s="4">
        <v>0.0</v>
      </c>
      <c r="H390" s="4">
        <v>0.0</v>
      </c>
      <c r="I390" s="4">
        <v>5.98999977111816</v>
      </c>
      <c r="J390" s="4">
        <v>0.0</v>
      </c>
      <c r="K390" s="4">
        <v>0.0</v>
      </c>
      <c r="L390" s="4">
        <v>0.0</v>
      </c>
      <c r="M390" s="4">
        <v>311.0</v>
      </c>
      <c r="N390" s="4">
        <v>604.0</v>
      </c>
      <c r="O390" s="4">
        <v>2200.0</v>
      </c>
    </row>
    <row r="391">
      <c r="A391" s="4">
        <v>4.319703577E9</v>
      </c>
      <c r="B391" s="5">
        <v>42480.0</v>
      </c>
      <c r="C391" s="4">
        <v>8954.0</v>
      </c>
      <c r="D391" s="4">
        <v>6.01000022888184</v>
      </c>
      <c r="E391" s="4">
        <v>6.01000022888184</v>
      </c>
      <c r="F391" s="4">
        <v>0.0</v>
      </c>
      <c r="G391" s="4">
        <v>0.0</v>
      </c>
      <c r="H391" s="4">
        <v>0.680000007152557</v>
      </c>
      <c r="I391" s="4">
        <v>5.30999994277954</v>
      </c>
      <c r="J391" s="4">
        <v>0.0</v>
      </c>
      <c r="K391" s="4">
        <v>0.0</v>
      </c>
      <c r="L391" s="4">
        <v>18.0</v>
      </c>
      <c r="M391" s="4">
        <v>306.0</v>
      </c>
      <c r="N391" s="4">
        <v>671.0</v>
      </c>
      <c r="O391" s="4">
        <v>2220.0</v>
      </c>
    </row>
    <row r="392">
      <c r="A392" s="4">
        <v>4.319703577E9</v>
      </c>
      <c r="B392" s="5">
        <v>42481.0</v>
      </c>
      <c r="C392" s="4">
        <v>3702.0</v>
      </c>
      <c r="D392" s="4">
        <v>2.48000001907349</v>
      </c>
      <c r="E392" s="4">
        <v>2.48000001907349</v>
      </c>
      <c r="F392" s="4">
        <v>0.0</v>
      </c>
      <c r="G392" s="4">
        <v>0.0</v>
      </c>
      <c r="H392" s="4">
        <v>0.0</v>
      </c>
      <c r="I392" s="4">
        <v>0.349999994039536</v>
      </c>
      <c r="J392" s="4">
        <v>0.0</v>
      </c>
      <c r="K392" s="4">
        <v>0.0</v>
      </c>
      <c r="L392" s="4">
        <v>0.0</v>
      </c>
      <c r="M392" s="4">
        <v>34.0</v>
      </c>
      <c r="N392" s="4">
        <v>1265.0</v>
      </c>
      <c r="O392" s="4">
        <v>1792.0</v>
      </c>
    </row>
    <row r="393">
      <c r="A393" s="4">
        <v>4.319703577E9</v>
      </c>
      <c r="B393" s="5">
        <v>42482.0</v>
      </c>
      <c r="C393" s="4">
        <v>4500.0</v>
      </c>
      <c r="D393" s="4">
        <v>3.01999998092651</v>
      </c>
      <c r="E393" s="4">
        <v>3.01999998092651</v>
      </c>
      <c r="F393" s="4">
        <v>0.0</v>
      </c>
      <c r="G393" s="4">
        <v>0.0599999986588955</v>
      </c>
      <c r="H393" s="4">
        <v>0.810000002384186</v>
      </c>
      <c r="I393" s="4">
        <v>2.15000009536743</v>
      </c>
      <c r="J393" s="4">
        <v>0.0</v>
      </c>
      <c r="K393" s="4">
        <v>1.0</v>
      </c>
      <c r="L393" s="4">
        <v>19.0</v>
      </c>
      <c r="M393" s="4">
        <v>176.0</v>
      </c>
      <c r="N393" s="4">
        <v>709.0</v>
      </c>
      <c r="O393" s="4">
        <v>1886.0</v>
      </c>
    </row>
    <row r="394">
      <c r="A394" s="4">
        <v>4.319703577E9</v>
      </c>
      <c r="B394" s="5">
        <v>42483.0</v>
      </c>
      <c r="C394" s="4">
        <v>4935.0</v>
      </c>
      <c r="D394" s="4">
        <v>3.30999994277954</v>
      </c>
      <c r="E394" s="4">
        <v>3.30999994277954</v>
      </c>
      <c r="F394" s="4">
        <v>0.0</v>
      </c>
      <c r="G394" s="4">
        <v>0.0</v>
      </c>
      <c r="H394" s="4">
        <v>0.0</v>
      </c>
      <c r="I394" s="4">
        <v>3.30999994277954</v>
      </c>
      <c r="J394" s="4">
        <v>0.0</v>
      </c>
      <c r="K394" s="4">
        <v>0.0</v>
      </c>
      <c r="L394" s="4">
        <v>0.0</v>
      </c>
      <c r="M394" s="4">
        <v>233.0</v>
      </c>
      <c r="N394" s="4">
        <v>546.0</v>
      </c>
      <c r="O394" s="4">
        <v>1945.0</v>
      </c>
    </row>
    <row r="395">
      <c r="A395" s="4">
        <v>4.319703577E9</v>
      </c>
      <c r="B395" s="5">
        <v>42484.0</v>
      </c>
      <c r="C395" s="4">
        <v>4081.0</v>
      </c>
      <c r="D395" s="4">
        <v>2.74000000953674</v>
      </c>
      <c r="E395" s="4">
        <v>2.74000000953674</v>
      </c>
      <c r="F395" s="4">
        <v>0.0</v>
      </c>
      <c r="G395" s="4">
        <v>0.0599999986588955</v>
      </c>
      <c r="H395" s="4">
        <v>0.200000002980232</v>
      </c>
      <c r="I395" s="4">
        <v>2.47000002861023</v>
      </c>
      <c r="J395" s="4">
        <v>0.0</v>
      </c>
      <c r="K395" s="4">
        <v>1.0</v>
      </c>
      <c r="L395" s="4">
        <v>5.0</v>
      </c>
      <c r="M395" s="4">
        <v>191.0</v>
      </c>
      <c r="N395" s="4">
        <v>692.0</v>
      </c>
      <c r="O395" s="4">
        <v>1880.0</v>
      </c>
    </row>
    <row r="396">
      <c r="A396" s="4">
        <v>4.319703577E9</v>
      </c>
      <c r="B396" s="5">
        <v>42485.0</v>
      </c>
      <c r="C396" s="4">
        <v>9259.0</v>
      </c>
      <c r="D396" s="4">
        <v>6.21000003814697</v>
      </c>
      <c r="E396" s="4">
        <v>6.21000003814697</v>
      </c>
      <c r="F396" s="4">
        <v>0.0</v>
      </c>
      <c r="G396" s="4">
        <v>0.0</v>
      </c>
      <c r="H396" s="4">
        <v>0.280000001192093</v>
      </c>
      <c r="I396" s="4">
        <v>5.92999982833862</v>
      </c>
      <c r="J396" s="4">
        <v>0.0</v>
      </c>
      <c r="K396" s="4">
        <v>0.0</v>
      </c>
      <c r="L396" s="4">
        <v>8.0</v>
      </c>
      <c r="M396" s="4">
        <v>390.0</v>
      </c>
      <c r="N396" s="4">
        <v>544.0</v>
      </c>
      <c r="O396" s="4">
        <v>2314.0</v>
      </c>
    </row>
    <row r="397">
      <c r="A397" s="4">
        <v>4.319703577E9</v>
      </c>
      <c r="B397" s="5">
        <v>42486.0</v>
      </c>
      <c r="C397" s="4">
        <v>9899.0</v>
      </c>
      <c r="D397" s="4">
        <v>6.6399998664856</v>
      </c>
      <c r="E397" s="4">
        <v>6.6399998664856</v>
      </c>
      <c r="F397" s="4">
        <v>0.0</v>
      </c>
      <c r="G397" s="4">
        <v>0.569999992847443</v>
      </c>
      <c r="H397" s="4">
        <v>0.920000016689301</v>
      </c>
      <c r="I397" s="4">
        <v>5.15000009536743</v>
      </c>
      <c r="J397" s="4">
        <v>0.0</v>
      </c>
      <c r="K397" s="4">
        <v>8.0</v>
      </c>
      <c r="L397" s="4">
        <v>21.0</v>
      </c>
      <c r="M397" s="4">
        <v>288.0</v>
      </c>
      <c r="N397" s="4">
        <v>649.0</v>
      </c>
      <c r="O397" s="4">
        <v>2236.0</v>
      </c>
    </row>
    <row r="398">
      <c r="A398" s="4">
        <v>4.319703577E9</v>
      </c>
      <c r="B398" s="5">
        <v>42487.0</v>
      </c>
      <c r="C398" s="4">
        <v>10780.0</v>
      </c>
      <c r="D398" s="4">
        <v>7.23000001907349</v>
      </c>
      <c r="E398" s="4">
        <v>7.23000001907349</v>
      </c>
      <c r="F398" s="4">
        <v>0.0</v>
      </c>
      <c r="G398" s="4">
        <v>0.409999996423721</v>
      </c>
      <c r="H398" s="4">
        <v>1.91999995708466</v>
      </c>
      <c r="I398" s="4">
        <v>4.90999984741211</v>
      </c>
      <c r="J398" s="4">
        <v>0.0</v>
      </c>
      <c r="K398" s="4">
        <v>6.0</v>
      </c>
      <c r="L398" s="4">
        <v>47.0</v>
      </c>
      <c r="M398" s="4">
        <v>300.0</v>
      </c>
      <c r="N398" s="4">
        <v>680.0</v>
      </c>
      <c r="O398" s="4">
        <v>2324.0</v>
      </c>
    </row>
    <row r="399">
      <c r="A399" s="4">
        <v>4.319703577E9</v>
      </c>
      <c r="B399" s="5">
        <v>42488.0</v>
      </c>
      <c r="C399" s="4">
        <v>10817.0</v>
      </c>
      <c r="D399" s="4">
        <v>7.28000020980835</v>
      </c>
      <c r="E399" s="4">
        <v>7.28000020980835</v>
      </c>
      <c r="F399" s="4">
        <v>0.0</v>
      </c>
      <c r="G399" s="4">
        <v>1.00999999046326</v>
      </c>
      <c r="H399" s="4">
        <v>0.330000013113022</v>
      </c>
      <c r="I399" s="4">
        <v>5.94000005722046</v>
      </c>
      <c r="J399" s="4">
        <v>0.0</v>
      </c>
      <c r="K399" s="4">
        <v>13.0</v>
      </c>
      <c r="L399" s="4">
        <v>8.0</v>
      </c>
      <c r="M399" s="4">
        <v>359.0</v>
      </c>
      <c r="N399" s="4">
        <v>552.0</v>
      </c>
      <c r="O399" s="4">
        <v>2367.0</v>
      </c>
    </row>
    <row r="400">
      <c r="A400" s="4">
        <v>4.319703577E9</v>
      </c>
      <c r="B400" s="5">
        <v>42489.0</v>
      </c>
      <c r="C400" s="4">
        <v>7990.0</v>
      </c>
      <c r="D400" s="4">
        <v>5.3600001335144</v>
      </c>
      <c r="E400" s="4">
        <v>5.3600001335144</v>
      </c>
      <c r="F400" s="4">
        <v>0.0</v>
      </c>
      <c r="G400" s="4">
        <v>0.449999988079071</v>
      </c>
      <c r="H400" s="4">
        <v>0.790000021457672</v>
      </c>
      <c r="I400" s="4">
        <v>4.11999988555908</v>
      </c>
      <c r="J400" s="4">
        <v>0.0</v>
      </c>
      <c r="K400" s="4">
        <v>6.0</v>
      </c>
      <c r="L400" s="4">
        <v>18.0</v>
      </c>
      <c r="M400" s="4">
        <v>289.0</v>
      </c>
      <c r="N400" s="4">
        <v>624.0</v>
      </c>
      <c r="O400" s="4">
        <v>2175.0</v>
      </c>
    </row>
    <row r="401">
      <c r="A401" s="4">
        <v>4.319703577E9</v>
      </c>
      <c r="B401" s="5">
        <v>42490.0</v>
      </c>
      <c r="C401" s="4">
        <v>8221.0</v>
      </c>
      <c r="D401" s="4">
        <v>5.51999998092651</v>
      </c>
      <c r="E401" s="4">
        <v>5.51999998092651</v>
      </c>
      <c r="F401" s="4">
        <v>0.0</v>
      </c>
      <c r="G401" s="4">
        <v>0.400000005960464</v>
      </c>
      <c r="H401" s="4">
        <v>1.61000001430511</v>
      </c>
      <c r="I401" s="4">
        <v>3.50999999046326</v>
      </c>
      <c r="J401" s="4">
        <v>0.0</v>
      </c>
      <c r="K401" s="4">
        <v>6.0</v>
      </c>
      <c r="L401" s="4">
        <v>38.0</v>
      </c>
      <c r="M401" s="4">
        <v>196.0</v>
      </c>
      <c r="N401" s="4">
        <v>695.0</v>
      </c>
      <c r="O401" s="4">
        <v>2092.0</v>
      </c>
    </row>
    <row r="402">
      <c r="A402" s="4">
        <v>4.319703577E9</v>
      </c>
      <c r="B402" s="5">
        <v>42491.0</v>
      </c>
      <c r="C402" s="4">
        <v>1251.0</v>
      </c>
      <c r="D402" s="4">
        <v>0.839999973773956</v>
      </c>
      <c r="E402" s="4">
        <v>0.839999973773956</v>
      </c>
      <c r="F402" s="4">
        <v>0.0</v>
      </c>
      <c r="G402" s="4">
        <v>0.0</v>
      </c>
      <c r="H402" s="4">
        <v>0.0</v>
      </c>
      <c r="I402" s="4">
        <v>0.839999973773956</v>
      </c>
      <c r="J402" s="4">
        <v>0.0</v>
      </c>
      <c r="K402" s="4">
        <v>0.0</v>
      </c>
      <c r="L402" s="4">
        <v>0.0</v>
      </c>
      <c r="M402" s="4">
        <v>67.0</v>
      </c>
      <c r="N402" s="4">
        <v>836.0</v>
      </c>
      <c r="O402" s="4">
        <v>1593.0</v>
      </c>
    </row>
    <row r="403">
      <c r="A403" s="4">
        <v>4.319703577E9</v>
      </c>
      <c r="B403" s="5">
        <v>42492.0</v>
      </c>
      <c r="C403" s="4">
        <v>9261.0</v>
      </c>
      <c r="D403" s="4">
        <v>6.23999977111816</v>
      </c>
      <c r="E403" s="4">
        <v>6.23999977111816</v>
      </c>
      <c r="F403" s="4">
        <v>0.0</v>
      </c>
      <c r="G403" s="4">
        <v>0.0</v>
      </c>
      <c r="H403" s="4">
        <v>0.439999997615814</v>
      </c>
      <c r="I403" s="4">
        <v>5.71000003814697</v>
      </c>
      <c r="J403" s="4">
        <v>0.0</v>
      </c>
      <c r="K403" s="4">
        <v>0.0</v>
      </c>
      <c r="L403" s="4">
        <v>11.0</v>
      </c>
      <c r="M403" s="4">
        <v>344.0</v>
      </c>
      <c r="N403" s="4">
        <v>585.0</v>
      </c>
      <c r="O403" s="4">
        <v>2270.0</v>
      </c>
    </row>
    <row r="404">
      <c r="A404" s="4">
        <v>4.319703577E9</v>
      </c>
      <c r="B404" s="5">
        <v>42493.0</v>
      </c>
      <c r="C404" s="4">
        <v>9648.0</v>
      </c>
      <c r="D404" s="4">
        <v>6.46999979019165</v>
      </c>
      <c r="E404" s="4">
        <v>6.46999979019165</v>
      </c>
      <c r="F404" s="4">
        <v>0.0</v>
      </c>
      <c r="G404" s="4">
        <v>0.579999983310699</v>
      </c>
      <c r="H404" s="4">
        <v>1.07000005245209</v>
      </c>
      <c r="I404" s="4">
        <v>4.82999992370605</v>
      </c>
      <c r="J404" s="4">
        <v>0.0</v>
      </c>
      <c r="K404" s="4">
        <v>8.0</v>
      </c>
      <c r="L404" s="4">
        <v>26.0</v>
      </c>
      <c r="M404" s="4">
        <v>287.0</v>
      </c>
      <c r="N404" s="4">
        <v>669.0</v>
      </c>
      <c r="O404" s="4">
        <v>2235.0</v>
      </c>
    </row>
    <row r="405">
      <c r="A405" s="4">
        <v>4.319703577E9</v>
      </c>
      <c r="B405" s="5">
        <v>42494.0</v>
      </c>
      <c r="C405" s="4">
        <v>10429.0</v>
      </c>
      <c r="D405" s="4">
        <v>7.01999998092651</v>
      </c>
      <c r="E405" s="4">
        <v>7.01999998092651</v>
      </c>
      <c r="F405" s="4">
        <v>0.0</v>
      </c>
      <c r="G405" s="4">
        <v>0.589999973773956</v>
      </c>
      <c r="H405" s="4">
        <v>0.579999983310699</v>
      </c>
      <c r="I405" s="4">
        <v>5.84999990463257</v>
      </c>
      <c r="J405" s="4">
        <v>0.0</v>
      </c>
      <c r="K405" s="4">
        <v>8.0</v>
      </c>
      <c r="L405" s="4">
        <v>13.0</v>
      </c>
      <c r="M405" s="4">
        <v>313.0</v>
      </c>
      <c r="N405" s="4">
        <v>1106.0</v>
      </c>
      <c r="O405" s="4">
        <v>2282.0</v>
      </c>
    </row>
    <row r="406">
      <c r="A406" s="4">
        <v>4.319703577E9</v>
      </c>
      <c r="B406" s="5">
        <v>42495.0</v>
      </c>
      <c r="C406" s="4">
        <v>13658.0</v>
      </c>
      <c r="D406" s="4">
        <v>9.48999977111816</v>
      </c>
      <c r="E406" s="4">
        <v>9.48999977111816</v>
      </c>
      <c r="F406" s="4">
        <v>0.0</v>
      </c>
      <c r="G406" s="4">
        <v>2.63000011444092</v>
      </c>
      <c r="H406" s="4">
        <v>1.4099999666214</v>
      </c>
      <c r="I406" s="4">
        <v>5.44999980926514</v>
      </c>
      <c r="J406" s="4">
        <v>0.0</v>
      </c>
      <c r="K406" s="4">
        <v>27.0</v>
      </c>
      <c r="L406" s="4">
        <v>34.0</v>
      </c>
      <c r="M406" s="4">
        <v>328.0</v>
      </c>
      <c r="N406" s="4">
        <v>957.0</v>
      </c>
      <c r="O406" s="4">
        <v>2530.0</v>
      </c>
    </row>
    <row r="407">
      <c r="A407" s="4">
        <v>4.319703577E9</v>
      </c>
      <c r="B407" s="5">
        <v>42496.0</v>
      </c>
      <c r="C407" s="4">
        <v>9524.0</v>
      </c>
      <c r="D407" s="4">
        <v>6.42000007629395</v>
      </c>
      <c r="E407" s="4">
        <v>6.42000007629395</v>
      </c>
      <c r="F407" s="4">
        <v>0.0</v>
      </c>
      <c r="G407" s="4">
        <v>0.409999996423721</v>
      </c>
      <c r="H407" s="4">
        <v>0.469999998807907</v>
      </c>
      <c r="I407" s="4">
        <v>5.46000003814697</v>
      </c>
      <c r="J407" s="4">
        <v>0.0</v>
      </c>
      <c r="K407" s="4">
        <v>6.0</v>
      </c>
      <c r="L407" s="4">
        <v>11.0</v>
      </c>
      <c r="M407" s="4">
        <v>314.0</v>
      </c>
      <c r="N407" s="4">
        <v>692.0</v>
      </c>
      <c r="O407" s="4">
        <v>2266.0</v>
      </c>
    </row>
    <row r="408">
      <c r="A408" s="4">
        <v>4.319703577E9</v>
      </c>
      <c r="B408" s="5">
        <v>42497.0</v>
      </c>
      <c r="C408" s="4">
        <v>7937.0</v>
      </c>
      <c r="D408" s="4">
        <v>5.32999992370605</v>
      </c>
      <c r="E408" s="4">
        <v>5.32999992370605</v>
      </c>
      <c r="F408" s="4">
        <v>0.0</v>
      </c>
      <c r="G408" s="4">
        <v>0.189999997615814</v>
      </c>
      <c r="H408" s="4">
        <v>1.04999995231628</v>
      </c>
      <c r="I408" s="4">
        <v>4.07999992370605</v>
      </c>
      <c r="J408" s="4">
        <v>0.0</v>
      </c>
      <c r="K408" s="4">
        <v>3.0</v>
      </c>
      <c r="L408" s="4">
        <v>28.0</v>
      </c>
      <c r="M408" s="4">
        <v>279.0</v>
      </c>
      <c r="N408" s="4">
        <v>586.0</v>
      </c>
      <c r="O408" s="4">
        <v>2158.0</v>
      </c>
    </row>
    <row r="409">
      <c r="A409" s="4">
        <v>4.319703577E9</v>
      </c>
      <c r="B409" s="5">
        <v>42498.0</v>
      </c>
      <c r="C409" s="4">
        <v>3672.0</v>
      </c>
      <c r="D409" s="4">
        <v>2.46000003814697</v>
      </c>
      <c r="E409" s="4">
        <v>2.46000003814697</v>
      </c>
      <c r="F409" s="4">
        <v>0.0</v>
      </c>
      <c r="G409" s="4">
        <v>0.0</v>
      </c>
      <c r="H409" s="4">
        <v>0.0</v>
      </c>
      <c r="I409" s="4">
        <v>2.46000003814697</v>
      </c>
      <c r="J409" s="4">
        <v>0.0</v>
      </c>
      <c r="K409" s="4">
        <v>0.0</v>
      </c>
      <c r="L409" s="4">
        <v>0.0</v>
      </c>
      <c r="M409" s="4">
        <v>153.0</v>
      </c>
      <c r="N409" s="4">
        <v>603.0</v>
      </c>
      <c r="O409" s="4">
        <v>1792.0</v>
      </c>
    </row>
    <row r="410">
      <c r="A410" s="4">
        <v>4.319703577E9</v>
      </c>
      <c r="B410" s="5">
        <v>42499.0</v>
      </c>
      <c r="C410" s="4">
        <v>10378.0</v>
      </c>
      <c r="D410" s="4">
        <v>6.96000003814697</v>
      </c>
      <c r="E410" s="4">
        <v>6.96000003814697</v>
      </c>
      <c r="F410" s="4">
        <v>0.0</v>
      </c>
      <c r="G410" s="4">
        <v>0.140000000596046</v>
      </c>
      <c r="H410" s="4">
        <v>0.560000002384186</v>
      </c>
      <c r="I410" s="4">
        <v>6.25</v>
      </c>
      <c r="J410" s="4">
        <v>0.0</v>
      </c>
      <c r="K410" s="4">
        <v>2.0</v>
      </c>
      <c r="L410" s="4">
        <v>14.0</v>
      </c>
      <c r="M410" s="4">
        <v>374.0</v>
      </c>
      <c r="N410" s="4">
        <v>490.0</v>
      </c>
      <c r="O410" s="4">
        <v>2345.0</v>
      </c>
    </row>
    <row r="411">
      <c r="A411" s="4">
        <v>4.319703577E9</v>
      </c>
      <c r="B411" s="5">
        <v>42500.0</v>
      </c>
      <c r="C411" s="4">
        <v>9487.0</v>
      </c>
      <c r="D411" s="4">
        <v>6.36999988555908</v>
      </c>
      <c r="E411" s="4">
        <v>6.36999988555908</v>
      </c>
      <c r="F411" s="4">
        <v>0.0</v>
      </c>
      <c r="G411" s="4">
        <v>0.209999993443489</v>
      </c>
      <c r="H411" s="4">
        <v>0.46000000834465</v>
      </c>
      <c r="I411" s="4">
        <v>5.69999980926514</v>
      </c>
      <c r="J411" s="4">
        <v>0.0</v>
      </c>
      <c r="K411" s="4">
        <v>3.0</v>
      </c>
      <c r="L411" s="4">
        <v>12.0</v>
      </c>
      <c r="M411" s="4">
        <v>329.0</v>
      </c>
      <c r="N411" s="4">
        <v>555.0</v>
      </c>
      <c r="O411" s="4">
        <v>2260.0</v>
      </c>
    </row>
    <row r="412">
      <c r="A412" s="4">
        <v>4.319703577E9</v>
      </c>
      <c r="B412" s="5">
        <v>42501.0</v>
      </c>
      <c r="C412" s="4">
        <v>9129.0</v>
      </c>
      <c r="D412" s="4">
        <v>6.13000011444092</v>
      </c>
      <c r="E412" s="4">
        <v>6.13000011444092</v>
      </c>
      <c r="F412" s="4">
        <v>0.0</v>
      </c>
      <c r="G412" s="4">
        <v>0.200000002980232</v>
      </c>
      <c r="H412" s="4">
        <v>0.740000009536743</v>
      </c>
      <c r="I412" s="4">
        <v>5.17999982833862</v>
      </c>
      <c r="J412" s="4">
        <v>0.0</v>
      </c>
      <c r="K412" s="4">
        <v>3.0</v>
      </c>
      <c r="L412" s="4">
        <v>18.0</v>
      </c>
      <c r="M412" s="4">
        <v>311.0</v>
      </c>
      <c r="N412" s="4">
        <v>574.0</v>
      </c>
      <c r="O412" s="4">
        <v>2232.0</v>
      </c>
    </row>
    <row r="413">
      <c r="A413" s="4">
        <v>4.319703577E9</v>
      </c>
      <c r="B413" s="5">
        <v>42502.0</v>
      </c>
      <c r="C413" s="4">
        <v>17.0</v>
      </c>
      <c r="D413" s="4">
        <v>0.00999999977648258</v>
      </c>
      <c r="E413" s="4">
        <v>0.00999999977648258</v>
      </c>
      <c r="F413" s="4">
        <v>0.0</v>
      </c>
      <c r="G413" s="4">
        <v>0.0</v>
      </c>
      <c r="H413" s="4">
        <v>0.0</v>
      </c>
      <c r="I413" s="4">
        <v>0.00999999977648258</v>
      </c>
      <c r="J413" s="4">
        <v>0.0</v>
      </c>
      <c r="K413" s="4">
        <v>0.0</v>
      </c>
      <c r="L413" s="4">
        <v>0.0</v>
      </c>
      <c r="M413" s="4">
        <v>2.0</v>
      </c>
      <c r="N413" s="4">
        <v>0.0</v>
      </c>
      <c r="O413" s="4">
        <v>257.0</v>
      </c>
    </row>
    <row r="414">
      <c r="A414" s="4">
        <v>4.388161847E9</v>
      </c>
      <c r="B414" s="5">
        <v>42472.0</v>
      </c>
      <c r="C414" s="4">
        <v>10122.0</v>
      </c>
      <c r="D414" s="4">
        <v>7.78000020980835</v>
      </c>
      <c r="E414" s="4">
        <v>7.78000020980835</v>
      </c>
      <c r="F414" s="4">
        <v>0.0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1440.0</v>
      </c>
      <c r="O414" s="4">
        <v>2955.0</v>
      </c>
    </row>
    <row r="415">
      <c r="A415" s="4">
        <v>4.388161847E9</v>
      </c>
      <c r="B415" s="5">
        <v>42473.0</v>
      </c>
      <c r="C415" s="4">
        <v>10993.0</v>
      </c>
      <c r="D415" s="4">
        <v>8.44999980926514</v>
      </c>
      <c r="E415" s="4">
        <v>8.44999980926514</v>
      </c>
      <c r="F415" s="4">
        <v>0.0</v>
      </c>
      <c r="G415" s="4">
        <v>0.0599999986588955</v>
      </c>
      <c r="H415" s="4">
        <v>0.629999995231628</v>
      </c>
      <c r="I415" s="4">
        <v>3.88000011444092</v>
      </c>
      <c r="J415" s="4">
        <v>0.0</v>
      </c>
      <c r="K415" s="4">
        <v>1.0</v>
      </c>
      <c r="L415" s="4">
        <v>14.0</v>
      </c>
      <c r="M415" s="4">
        <v>150.0</v>
      </c>
      <c r="N415" s="4">
        <v>1275.0</v>
      </c>
      <c r="O415" s="4">
        <v>3092.0</v>
      </c>
    </row>
    <row r="416">
      <c r="A416" s="4">
        <v>4.388161847E9</v>
      </c>
      <c r="B416" s="5">
        <v>42474.0</v>
      </c>
      <c r="C416" s="4">
        <v>8863.0</v>
      </c>
      <c r="D416" s="4">
        <v>6.82000017166138</v>
      </c>
      <c r="E416" s="4">
        <v>6.82000017166138</v>
      </c>
      <c r="F416" s="4">
        <v>0.0</v>
      </c>
      <c r="G416" s="4">
        <v>0.129999995231628</v>
      </c>
      <c r="H416" s="4">
        <v>1.07000005245209</v>
      </c>
      <c r="I416" s="4">
        <v>5.61999988555908</v>
      </c>
      <c r="J416" s="4">
        <v>0.0</v>
      </c>
      <c r="K416" s="4">
        <v>10.0</v>
      </c>
      <c r="L416" s="4">
        <v>35.0</v>
      </c>
      <c r="M416" s="4">
        <v>219.0</v>
      </c>
      <c r="N416" s="4">
        <v>945.0</v>
      </c>
      <c r="O416" s="4">
        <v>2998.0</v>
      </c>
    </row>
    <row r="417">
      <c r="A417" s="4">
        <v>4.388161847E9</v>
      </c>
      <c r="B417" s="5">
        <v>42475.0</v>
      </c>
      <c r="C417" s="4">
        <v>8758.0</v>
      </c>
      <c r="D417" s="4">
        <v>6.73000001907349</v>
      </c>
      <c r="E417" s="4">
        <v>6.73000001907349</v>
      </c>
      <c r="F417" s="4">
        <v>0.0</v>
      </c>
      <c r="G417" s="4">
        <v>0.0</v>
      </c>
      <c r="H417" s="4">
        <v>0.0</v>
      </c>
      <c r="I417" s="4">
        <v>6.73000001907349</v>
      </c>
      <c r="J417" s="4">
        <v>0.0</v>
      </c>
      <c r="K417" s="4">
        <v>0.0</v>
      </c>
      <c r="L417" s="4">
        <v>0.0</v>
      </c>
      <c r="M417" s="4">
        <v>299.0</v>
      </c>
      <c r="N417" s="4">
        <v>837.0</v>
      </c>
      <c r="O417" s="4">
        <v>3066.0</v>
      </c>
    </row>
    <row r="418">
      <c r="A418" s="4">
        <v>4.388161847E9</v>
      </c>
      <c r="B418" s="5">
        <v>42476.0</v>
      </c>
      <c r="C418" s="4">
        <v>6580.0</v>
      </c>
      <c r="D418" s="4">
        <v>5.05999994277954</v>
      </c>
      <c r="E418" s="4">
        <v>5.05999994277954</v>
      </c>
      <c r="F418" s="4">
        <v>0.0</v>
      </c>
      <c r="G418" s="4">
        <v>0.209999993443489</v>
      </c>
      <c r="H418" s="4">
        <v>0.400000005960464</v>
      </c>
      <c r="I418" s="4">
        <v>4.44999980926514</v>
      </c>
      <c r="J418" s="4">
        <v>0.0</v>
      </c>
      <c r="K418" s="4">
        <v>6.0</v>
      </c>
      <c r="L418" s="4">
        <v>9.0</v>
      </c>
      <c r="M418" s="4">
        <v>253.0</v>
      </c>
      <c r="N418" s="4">
        <v>609.0</v>
      </c>
      <c r="O418" s="4">
        <v>3073.0</v>
      </c>
    </row>
    <row r="419">
      <c r="A419" s="4">
        <v>4.388161847E9</v>
      </c>
      <c r="B419" s="5">
        <v>42477.0</v>
      </c>
      <c r="C419" s="4">
        <v>4660.0</v>
      </c>
      <c r="D419" s="4">
        <v>3.57999992370605</v>
      </c>
      <c r="E419" s="4">
        <v>3.57999992370605</v>
      </c>
      <c r="F419" s="4">
        <v>0.0</v>
      </c>
      <c r="G419" s="4">
        <v>0.0</v>
      </c>
      <c r="H419" s="4">
        <v>0.0</v>
      </c>
      <c r="I419" s="4">
        <v>3.57999992370605</v>
      </c>
      <c r="J419" s="4">
        <v>0.0</v>
      </c>
      <c r="K419" s="4">
        <v>0.0</v>
      </c>
      <c r="L419" s="4">
        <v>0.0</v>
      </c>
      <c r="M419" s="4">
        <v>201.0</v>
      </c>
      <c r="N419" s="4">
        <v>721.0</v>
      </c>
      <c r="O419" s="4">
        <v>2572.0</v>
      </c>
    </row>
    <row r="420">
      <c r="A420" s="4">
        <v>4.388161847E9</v>
      </c>
      <c r="B420" s="5">
        <v>42478.0</v>
      </c>
      <c r="C420" s="4">
        <v>11009.0</v>
      </c>
      <c r="D420" s="4">
        <v>9.10000038146973</v>
      </c>
      <c r="E420" s="4">
        <v>9.10000038146973</v>
      </c>
      <c r="F420" s="4">
        <v>0.0</v>
      </c>
      <c r="G420" s="4">
        <v>3.55999994277954</v>
      </c>
      <c r="H420" s="4">
        <v>0.400000005960464</v>
      </c>
      <c r="I420" s="4">
        <v>5.1399998664856</v>
      </c>
      <c r="J420" s="4">
        <v>0.0</v>
      </c>
      <c r="K420" s="4">
        <v>27.0</v>
      </c>
      <c r="L420" s="4">
        <v>8.0</v>
      </c>
      <c r="M420" s="4">
        <v>239.0</v>
      </c>
      <c r="N420" s="4">
        <v>1017.0</v>
      </c>
      <c r="O420" s="4">
        <v>3274.0</v>
      </c>
    </row>
    <row r="421">
      <c r="A421" s="4">
        <v>4.388161847E9</v>
      </c>
      <c r="B421" s="5">
        <v>42479.0</v>
      </c>
      <c r="C421" s="4">
        <v>10181.0</v>
      </c>
      <c r="D421" s="4">
        <v>7.82999992370605</v>
      </c>
      <c r="E421" s="4">
        <v>7.82999992370605</v>
      </c>
      <c r="F421" s="4">
        <v>0.0</v>
      </c>
      <c r="G421" s="4">
        <v>1.37000000476837</v>
      </c>
      <c r="H421" s="4">
        <v>0.689999997615814</v>
      </c>
      <c r="I421" s="4">
        <v>5.76999998092651</v>
      </c>
      <c r="J421" s="4">
        <v>0.0</v>
      </c>
      <c r="K421" s="4">
        <v>20.0</v>
      </c>
      <c r="L421" s="4">
        <v>16.0</v>
      </c>
      <c r="M421" s="4">
        <v>249.0</v>
      </c>
      <c r="N421" s="4">
        <v>704.0</v>
      </c>
      <c r="O421" s="4">
        <v>3015.0</v>
      </c>
    </row>
    <row r="422">
      <c r="A422" s="4">
        <v>4.388161847E9</v>
      </c>
      <c r="B422" s="5">
        <v>42480.0</v>
      </c>
      <c r="C422" s="4">
        <v>10553.0</v>
      </c>
      <c r="D422" s="4">
        <v>8.11999988555908</v>
      </c>
      <c r="E422" s="4">
        <v>8.11999988555908</v>
      </c>
      <c r="F422" s="4">
        <v>0.0</v>
      </c>
      <c r="G422" s="4">
        <v>1.10000002384186</v>
      </c>
      <c r="H422" s="4">
        <v>1.72000002861023</v>
      </c>
      <c r="I422" s="4">
        <v>5.28999996185303</v>
      </c>
      <c r="J422" s="4">
        <v>0.0</v>
      </c>
      <c r="K422" s="4">
        <v>19.0</v>
      </c>
      <c r="L422" s="4">
        <v>42.0</v>
      </c>
      <c r="M422" s="4">
        <v>228.0</v>
      </c>
      <c r="N422" s="4">
        <v>696.0</v>
      </c>
      <c r="O422" s="4">
        <v>3083.0</v>
      </c>
    </row>
    <row r="423">
      <c r="A423" s="4">
        <v>4.388161847E9</v>
      </c>
      <c r="B423" s="5">
        <v>42481.0</v>
      </c>
      <c r="C423" s="4">
        <v>10055.0</v>
      </c>
      <c r="D423" s="4">
        <v>7.73000001907349</v>
      </c>
      <c r="E423" s="4">
        <v>7.73000001907349</v>
      </c>
      <c r="F423" s="4">
        <v>0.0</v>
      </c>
      <c r="G423" s="4">
        <v>0.370000004768372</v>
      </c>
      <c r="H423" s="4">
        <v>0.389999985694885</v>
      </c>
      <c r="I423" s="4">
        <v>6.98000001907349</v>
      </c>
      <c r="J423" s="4">
        <v>0.0</v>
      </c>
      <c r="K423" s="4">
        <v>7.0</v>
      </c>
      <c r="L423" s="4">
        <v>12.0</v>
      </c>
      <c r="M423" s="4">
        <v>272.0</v>
      </c>
      <c r="N423" s="4">
        <v>853.0</v>
      </c>
      <c r="O423" s="4">
        <v>3069.0</v>
      </c>
    </row>
    <row r="424">
      <c r="A424" s="4">
        <v>4.388161847E9</v>
      </c>
      <c r="B424" s="5">
        <v>42482.0</v>
      </c>
      <c r="C424" s="4">
        <v>12139.0</v>
      </c>
      <c r="D424" s="4">
        <v>9.34000015258789</v>
      </c>
      <c r="E424" s="4">
        <v>9.34000015258789</v>
      </c>
      <c r="F424" s="4">
        <v>0.0</v>
      </c>
      <c r="G424" s="4">
        <v>3.29999995231628</v>
      </c>
      <c r="H424" s="4">
        <v>1.11000001430511</v>
      </c>
      <c r="I424" s="4">
        <v>4.92000007629395</v>
      </c>
      <c r="J424" s="4">
        <v>0.0</v>
      </c>
      <c r="K424" s="4">
        <v>77.0</v>
      </c>
      <c r="L424" s="4">
        <v>25.0</v>
      </c>
      <c r="M424" s="4">
        <v>220.0</v>
      </c>
      <c r="N424" s="4">
        <v>945.0</v>
      </c>
      <c r="O424" s="4">
        <v>3544.0</v>
      </c>
    </row>
    <row r="425">
      <c r="A425" s="4">
        <v>4.388161847E9</v>
      </c>
      <c r="B425" s="5">
        <v>42483.0</v>
      </c>
      <c r="C425" s="4">
        <v>13236.0</v>
      </c>
      <c r="D425" s="4">
        <v>10.1800003051758</v>
      </c>
      <c r="E425" s="4">
        <v>10.1800003051758</v>
      </c>
      <c r="F425" s="4">
        <v>0.0</v>
      </c>
      <c r="G425" s="4">
        <v>4.5</v>
      </c>
      <c r="H425" s="4">
        <v>0.319999992847443</v>
      </c>
      <c r="I425" s="4">
        <v>5.34999990463257</v>
      </c>
      <c r="J425" s="4">
        <v>0.0</v>
      </c>
      <c r="K425" s="4">
        <v>58.0</v>
      </c>
      <c r="L425" s="4">
        <v>5.0</v>
      </c>
      <c r="M425" s="4">
        <v>215.0</v>
      </c>
      <c r="N425" s="4">
        <v>749.0</v>
      </c>
      <c r="O425" s="4">
        <v>3306.0</v>
      </c>
    </row>
    <row r="426">
      <c r="A426" s="4">
        <v>4.388161847E9</v>
      </c>
      <c r="B426" s="5">
        <v>42484.0</v>
      </c>
      <c r="C426" s="4">
        <v>10243.0</v>
      </c>
      <c r="D426" s="4">
        <v>7.88000011444092</v>
      </c>
      <c r="E426" s="4">
        <v>7.88000011444092</v>
      </c>
      <c r="F426" s="4">
        <v>0.0</v>
      </c>
      <c r="G426" s="4">
        <v>1.08000004291534</v>
      </c>
      <c r="H426" s="4">
        <v>0.509999990463257</v>
      </c>
      <c r="I426" s="4">
        <v>6.30000019073486</v>
      </c>
      <c r="J426" s="4">
        <v>0.0</v>
      </c>
      <c r="K426" s="4">
        <v>14.0</v>
      </c>
      <c r="L426" s="4">
        <v>8.0</v>
      </c>
      <c r="M426" s="4">
        <v>239.0</v>
      </c>
      <c r="N426" s="4">
        <v>584.0</v>
      </c>
      <c r="O426" s="4">
        <v>2885.0</v>
      </c>
    </row>
    <row r="427">
      <c r="A427" s="4">
        <v>4.388161847E9</v>
      </c>
      <c r="B427" s="5">
        <v>42485.0</v>
      </c>
      <c r="C427" s="4">
        <v>12961.0</v>
      </c>
      <c r="D427" s="4">
        <v>9.97000026702881</v>
      </c>
      <c r="E427" s="4">
        <v>9.97000026702881</v>
      </c>
      <c r="F427" s="4">
        <v>0.0</v>
      </c>
      <c r="G427" s="4">
        <v>0.730000019073486</v>
      </c>
      <c r="H427" s="4">
        <v>1.39999997615814</v>
      </c>
      <c r="I427" s="4">
        <v>7.84000015258789</v>
      </c>
      <c r="J427" s="4">
        <v>0.0</v>
      </c>
      <c r="K427" s="4">
        <v>11.0</v>
      </c>
      <c r="L427" s="4">
        <v>31.0</v>
      </c>
      <c r="M427" s="4">
        <v>301.0</v>
      </c>
      <c r="N427" s="4">
        <v>1054.0</v>
      </c>
      <c r="O427" s="4">
        <v>3288.0</v>
      </c>
    </row>
    <row r="428">
      <c r="A428" s="4">
        <v>4.388161847E9</v>
      </c>
      <c r="B428" s="5">
        <v>42486.0</v>
      </c>
      <c r="C428" s="4">
        <v>9461.0</v>
      </c>
      <c r="D428" s="4">
        <v>7.28000020980835</v>
      </c>
      <c r="E428" s="4">
        <v>7.28000020980835</v>
      </c>
      <c r="F428" s="4">
        <v>0.0</v>
      </c>
      <c r="G428" s="4">
        <v>0.939999997615814</v>
      </c>
      <c r="H428" s="4">
        <v>1.05999994277954</v>
      </c>
      <c r="I428" s="4">
        <v>5.26999998092651</v>
      </c>
      <c r="J428" s="4">
        <v>0.0</v>
      </c>
      <c r="K428" s="4">
        <v>14.0</v>
      </c>
      <c r="L428" s="4">
        <v>23.0</v>
      </c>
      <c r="M428" s="4">
        <v>224.0</v>
      </c>
      <c r="N428" s="4">
        <v>673.0</v>
      </c>
      <c r="O428" s="4">
        <v>2929.0</v>
      </c>
    </row>
    <row r="429">
      <c r="A429" s="4">
        <v>4.388161847E9</v>
      </c>
      <c r="B429" s="5">
        <v>42487.0</v>
      </c>
      <c r="C429" s="4">
        <v>11193.0</v>
      </c>
      <c r="D429" s="4">
        <v>8.60999965667725</v>
      </c>
      <c r="E429" s="4">
        <v>8.60999965667725</v>
      </c>
      <c r="F429" s="4">
        <v>0.0</v>
      </c>
      <c r="G429" s="4">
        <v>0.699999988079071</v>
      </c>
      <c r="H429" s="4">
        <v>2.50999999046326</v>
      </c>
      <c r="I429" s="4">
        <v>5.3899998664856</v>
      </c>
      <c r="J429" s="4">
        <v>0.0</v>
      </c>
      <c r="K429" s="4">
        <v>11.0</v>
      </c>
      <c r="L429" s="4">
        <v>48.0</v>
      </c>
      <c r="M429" s="4">
        <v>241.0</v>
      </c>
      <c r="N429" s="4">
        <v>684.0</v>
      </c>
      <c r="O429" s="4">
        <v>3074.0</v>
      </c>
    </row>
    <row r="430">
      <c r="A430" s="4">
        <v>4.388161847E9</v>
      </c>
      <c r="B430" s="5">
        <v>42488.0</v>
      </c>
      <c r="C430" s="4">
        <v>10074.0</v>
      </c>
      <c r="D430" s="4">
        <v>7.75</v>
      </c>
      <c r="E430" s="4">
        <v>7.75</v>
      </c>
      <c r="F430" s="4">
        <v>0.0</v>
      </c>
      <c r="G430" s="4">
        <v>1.28999996185303</v>
      </c>
      <c r="H430" s="4">
        <v>0.430000007152557</v>
      </c>
      <c r="I430" s="4">
        <v>6.03000020980835</v>
      </c>
      <c r="J430" s="4">
        <v>0.0</v>
      </c>
      <c r="K430" s="4">
        <v>19.0</v>
      </c>
      <c r="L430" s="4">
        <v>9.0</v>
      </c>
      <c r="M430" s="4">
        <v>234.0</v>
      </c>
      <c r="N430" s="4">
        <v>878.0</v>
      </c>
      <c r="O430" s="4">
        <v>2969.0</v>
      </c>
    </row>
    <row r="431">
      <c r="A431" s="4">
        <v>4.388161847E9</v>
      </c>
      <c r="B431" s="5">
        <v>42489.0</v>
      </c>
      <c r="C431" s="4">
        <v>9232.0</v>
      </c>
      <c r="D431" s="4">
        <v>7.09999990463257</v>
      </c>
      <c r="E431" s="4">
        <v>7.09999990463257</v>
      </c>
      <c r="F431" s="4">
        <v>0.0</v>
      </c>
      <c r="G431" s="4">
        <v>0.800000011920929</v>
      </c>
      <c r="H431" s="4">
        <v>0.889999985694885</v>
      </c>
      <c r="I431" s="4">
        <v>5.42000007629395</v>
      </c>
      <c r="J431" s="4">
        <v>0.0</v>
      </c>
      <c r="K431" s="4">
        <v>13.0</v>
      </c>
      <c r="L431" s="4">
        <v>16.0</v>
      </c>
      <c r="M431" s="4">
        <v>236.0</v>
      </c>
      <c r="N431" s="4">
        <v>1175.0</v>
      </c>
      <c r="O431" s="4">
        <v>2979.0</v>
      </c>
    </row>
    <row r="432">
      <c r="A432" s="4">
        <v>4.388161847E9</v>
      </c>
      <c r="B432" s="5">
        <v>42490.0</v>
      </c>
      <c r="C432" s="4">
        <v>12533.0</v>
      </c>
      <c r="D432" s="4">
        <v>9.64000034332275</v>
      </c>
      <c r="E432" s="4">
        <v>9.64000034332275</v>
      </c>
      <c r="F432" s="4">
        <v>0.0</v>
      </c>
      <c r="G432" s="4">
        <v>0.699999988079071</v>
      </c>
      <c r="H432" s="4">
        <v>2.0</v>
      </c>
      <c r="I432" s="4">
        <v>6.94000005722046</v>
      </c>
      <c r="J432" s="4">
        <v>0.0</v>
      </c>
      <c r="K432" s="4">
        <v>14.0</v>
      </c>
      <c r="L432" s="4">
        <v>43.0</v>
      </c>
      <c r="M432" s="4">
        <v>300.0</v>
      </c>
      <c r="N432" s="4">
        <v>537.0</v>
      </c>
      <c r="O432" s="4">
        <v>3283.0</v>
      </c>
    </row>
    <row r="433">
      <c r="A433" s="4">
        <v>4.388161847E9</v>
      </c>
      <c r="B433" s="5">
        <v>42491.0</v>
      </c>
      <c r="C433" s="4">
        <v>10255.0</v>
      </c>
      <c r="D433" s="4">
        <v>7.8899998664856</v>
      </c>
      <c r="E433" s="4">
        <v>7.8899998664856</v>
      </c>
      <c r="F433" s="4">
        <v>0.0</v>
      </c>
      <c r="G433" s="4">
        <v>1.00999999046326</v>
      </c>
      <c r="H433" s="4">
        <v>0.680000007152557</v>
      </c>
      <c r="I433" s="4">
        <v>6.19999980926514</v>
      </c>
      <c r="J433" s="4">
        <v>0.0</v>
      </c>
      <c r="K433" s="4">
        <v>12.0</v>
      </c>
      <c r="L433" s="4">
        <v>15.0</v>
      </c>
      <c r="M433" s="4">
        <v>241.0</v>
      </c>
      <c r="N433" s="4">
        <v>579.0</v>
      </c>
      <c r="O433" s="4">
        <v>2926.0</v>
      </c>
    </row>
    <row r="434">
      <c r="A434" s="4">
        <v>4.388161847E9</v>
      </c>
      <c r="B434" s="5">
        <v>42492.0</v>
      </c>
      <c r="C434" s="4">
        <v>10096.0</v>
      </c>
      <c r="D434" s="4">
        <v>8.39999961853027</v>
      </c>
      <c r="E434" s="4">
        <v>8.39999961853027</v>
      </c>
      <c r="F434" s="4">
        <v>0.0</v>
      </c>
      <c r="G434" s="4">
        <v>3.76999998092651</v>
      </c>
      <c r="H434" s="4">
        <v>0.0799999982118607</v>
      </c>
      <c r="I434" s="4">
        <v>4.55000019073486</v>
      </c>
      <c r="J434" s="4">
        <v>0.0</v>
      </c>
      <c r="K434" s="4">
        <v>33.0</v>
      </c>
      <c r="L434" s="4">
        <v>4.0</v>
      </c>
      <c r="M434" s="4">
        <v>204.0</v>
      </c>
      <c r="N434" s="4">
        <v>935.0</v>
      </c>
      <c r="O434" s="4">
        <v>3147.0</v>
      </c>
    </row>
    <row r="435">
      <c r="A435" s="4">
        <v>4.388161847E9</v>
      </c>
      <c r="B435" s="5">
        <v>42493.0</v>
      </c>
      <c r="C435" s="4">
        <v>12727.0</v>
      </c>
      <c r="D435" s="4">
        <v>9.78999996185303</v>
      </c>
      <c r="E435" s="4">
        <v>9.78999996185303</v>
      </c>
      <c r="F435" s="4">
        <v>0.0</v>
      </c>
      <c r="G435" s="4">
        <v>1.12999999523163</v>
      </c>
      <c r="H435" s="4">
        <v>0.779999971389771</v>
      </c>
      <c r="I435" s="4">
        <v>7.88000011444092</v>
      </c>
      <c r="J435" s="4">
        <v>0.0</v>
      </c>
      <c r="K435" s="4">
        <v>18.0</v>
      </c>
      <c r="L435" s="4">
        <v>18.0</v>
      </c>
      <c r="M435" s="4">
        <v>306.0</v>
      </c>
      <c r="N435" s="4">
        <v>984.0</v>
      </c>
      <c r="O435" s="4">
        <v>3290.0</v>
      </c>
    </row>
    <row r="436">
      <c r="A436" s="4">
        <v>4.388161847E9</v>
      </c>
      <c r="B436" s="5">
        <v>42494.0</v>
      </c>
      <c r="C436" s="4">
        <v>12375.0</v>
      </c>
      <c r="D436" s="4">
        <v>9.52000045776367</v>
      </c>
      <c r="E436" s="4">
        <v>9.52000045776367</v>
      </c>
      <c r="F436" s="4">
        <v>0.0</v>
      </c>
      <c r="G436" s="4">
        <v>2.78999996185303</v>
      </c>
      <c r="H436" s="4">
        <v>0.930000007152557</v>
      </c>
      <c r="I436" s="4">
        <v>5.80000019073486</v>
      </c>
      <c r="J436" s="4">
        <v>0.0</v>
      </c>
      <c r="K436" s="4">
        <v>35.0</v>
      </c>
      <c r="L436" s="4">
        <v>21.0</v>
      </c>
      <c r="M436" s="4">
        <v>251.0</v>
      </c>
      <c r="N436" s="4">
        <v>632.0</v>
      </c>
      <c r="O436" s="4">
        <v>3162.0</v>
      </c>
    </row>
    <row r="437">
      <c r="A437" s="4">
        <v>4.388161847E9</v>
      </c>
      <c r="B437" s="5">
        <v>42495.0</v>
      </c>
      <c r="C437" s="4">
        <v>9603.0</v>
      </c>
      <c r="D437" s="4">
        <v>7.38000011444092</v>
      </c>
      <c r="E437" s="4">
        <v>7.38000011444092</v>
      </c>
      <c r="F437" s="4">
        <v>0.0</v>
      </c>
      <c r="G437" s="4">
        <v>0.629999995231628</v>
      </c>
      <c r="H437" s="4">
        <v>1.66999995708466</v>
      </c>
      <c r="I437" s="4">
        <v>5.09000015258789</v>
      </c>
      <c r="J437" s="4">
        <v>0.0</v>
      </c>
      <c r="K437" s="4">
        <v>12.0</v>
      </c>
      <c r="L437" s="4">
        <v>39.0</v>
      </c>
      <c r="M437" s="4">
        <v>199.0</v>
      </c>
      <c r="N437" s="4">
        <v>896.0</v>
      </c>
      <c r="O437" s="4">
        <v>2899.0</v>
      </c>
    </row>
    <row r="438">
      <c r="A438" s="4">
        <v>4.388161847E9</v>
      </c>
      <c r="B438" s="5">
        <v>42496.0</v>
      </c>
      <c r="C438" s="4">
        <v>13175.0</v>
      </c>
      <c r="D438" s="4">
        <v>10.1300001144409</v>
      </c>
      <c r="E438" s="4">
        <v>10.1300001144409</v>
      </c>
      <c r="F438" s="4">
        <v>0.0</v>
      </c>
      <c r="G438" s="4">
        <v>2.10999989509583</v>
      </c>
      <c r="H438" s="4">
        <v>2.08999991416931</v>
      </c>
      <c r="I438" s="4">
        <v>5.92999982833862</v>
      </c>
      <c r="J438" s="4">
        <v>0.0</v>
      </c>
      <c r="K438" s="4">
        <v>33.0</v>
      </c>
      <c r="L438" s="4">
        <v>45.0</v>
      </c>
      <c r="M438" s="4">
        <v>262.0</v>
      </c>
      <c r="N438" s="4">
        <v>1100.0</v>
      </c>
      <c r="O438" s="4">
        <v>3425.0</v>
      </c>
    </row>
    <row r="439">
      <c r="A439" s="4">
        <v>4.388161847E9</v>
      </c>
      <c r="B439" s="5">
        <v>42497.0</v>
      </c>
      <c r="C439" s="4">
        <v>22770.0</v>
      </c>
      <c r="D439" s="4">
        <v>17.5400009155273</v>
      </c>
      <c r="E439" s="4">
        <v>17.5400009155273</v>
      </c>
      <c r="F439" s="4">
        <v>0.0</v>
      </c>
      <c r="G439" s="4">
        <v>9.44999980926514</v>
      </c>
      <c r="H439" s="4">
        <v>2.76999998092651</v>
      </c>
      <c r="I439" s="4">
        <v>5.32999992370605</v>
      </c>
      <c r="J439" s="4">
        <v>0.0</v>
      </c>
      <c r="K439" s="4">
        <v>120.0</v>
      </c>
      <c r="L439" s="4">
        <v>56.0</v>
      </c>
      <c r="M439" s="4">
        <v>260.0</v>
      </c>
      <c r="N439" s="4">
        <v>508.0</v>
      </c>
      <c r="O439" s="4">
        <v>4022.0</v>
      </c>
    </row>
    <row r="440">
      <c r="A440" s="4">
        <v>4.388161847E9</v>
      </c>
      <c r="B440" s="5">
        <v>42498.0</v>
      </c>
      <c r="C440" s="4">
        <v>17298.0</v>
      </c>
      <c r="D440" s="4">
        <v>14.3800001144409</v>
      </c>
      <c r="E440" s="4">
        <v>14.3800001144409</v>
      </c>
      <c r="F440" s="4">
        <v>0.0</v>
      </c>
      <c r="G440" s="4">
        <v>9.89000034332275</v>
      </c>
      <c r="H440" s="4">
        <v>1.25999999046326</v>
      </c>
      <c r="I440" s="4">
        <v>3.23000001907349</v>
      </c>
      <c r="J440" s="4">
        <v>0.0</v>
      </c>
      <c r="K440" s="4">
        <v>107.0</v>
      </c>
      <c r="L440" s="4">
        <v>38.0</v>
      </c>
      <c r="M440" s="4">
        <v>178.0</v>
      </c>
      <c r="N440" s="4">
        <v>576.0</v>
      </c>
      <c r="O440" s="4">
        <v>3934.0</v>
      </c>
    </row>
    <row r="441">
      <c r="A441" s="4">
        <v>4.388161847E9</v>
      </c>
      <c r="B441" s="5">
        <v>42499.0</v>
      </c>
      <c r="C441" s="4">
        <v>10218.0</v>
      </c>
      <c r="D441" s="4">
        <v>7.8600001335144</v>
      </c>
      <c r="E441" s="4">
        <v>7.8600001335144</v>
      </c>
      <c r="F441" s="4">
        <v>0.0</v>
      </c>
      <c r="G441" s="4">
        <v>0.340000003576279</v>
      </c>
      <c r="H441" s="4">
        <v>0.730000019073486</v>
      </c>
      <c r="I441" s="4">
        <v>6.78999996185303</v>
      </c>
      <c r="J441" s="4">
        <v>0.0</v>
      </c>
      <c r="K441" s="4">
        <v>6.0</v>
      </c>
      <c r="L441" s="4">
        <v>19.0</v>
      </c>
      <c r="M441" s="4">
        <v>258.0</v>
      </c>
      <c r="N441" s="4">
        <v>1020.0</v>
      </c>
      <c r="O441" s="4">
        <v>3013.0</v>
      </c>
    </row>
    <row r="442">
      <c r="A442" s="4">
        <v>4.388161847E9</v>
      </c>
      <c r="B442" s="5">
        <v>42500.0</v>
      </c>
      <c r="C442" s="4">
        <v>10299.0</v>
      </c>
      <c r="D442" s="4">
        <v>7.92000007629395</v>
      </c>
      <c r="E442" s="4">
        <v>7.92000007629395</v>
      </c>
      <c r="F442" s="4">
        <v>0.0</v>
      </c>
      <c r="G442" s="4">
        <v>0.810000002384186</v>
      </c>
      <c r="H442" s="4">
        <v>0.649999976158142</v>
      </c>
      <c r="I442" s="4">
        <v>6.46000003814697</v>
      </c>
      <c r="J442" s="4">
        <v>0.0</v>
      </c>
      <c r="K442" s="4">
        <v>13.0</v>
      </c>
      <c r="L442" s="4">
        <v>14.0</v>
      </c>
      <c r="M442" s="4">
        <v>267.0</v>
      </c>
      <c r="N442" s="4">
        <v>648.0</v>
      </c>
      <c r="O442" s="4">
        <v>3061.0</v>
      </c>
    </row>
    <row r="443">
      <c r="A443" s="4">
        <v>4.388161847E9</v>
      </c>
      <c r="B443" s="5">
        <v>42501.0</v>
      </c>
      <c r="C443" s="4">
        <v>10201.0</v>
      </c>
      <c r="D443" s="4">
        <v>7.84000015258789</v>
      </c>
      <c r="E443" s="4">
        <v>7.84000015258789</v>
      </c>
      <c r="F443" s="4">
        <v>0.0</v>
      </c>
      <c r="G443" s="4">
        <v>0.529999971389771</v>
      </c>
      <c r="H443" s="4">
        <v>0.790000021457672</v>
      </c>
      <c r="I443" s="4">
        <v>6.53000020980835</v>
      </c>
      <c r="J443" s="4">
        <v>0.0</v>
      </c>
      <c r="K443" s="4">
        <v>8.0</v>
      </c>
      <c r="L443" s="4">
        <v>18.0</v>
      </c>
      <c r="M443" s="4">
        <v>256.0</v>
      </c>
      <c r="N443" s="4">
        <v>858.0</v>
      </c>
      <c r="O443" s="4">
        <v>2954.0</v>
      </c>
    </row>
    <row r="444">
      <c r="A444" s="4">
        <v>4.388161847E9</v>
      </c>
      <c r="B444" s="5">
        <v>42502.0</v>
      </c>
      <c r="C444" s="4">
        <v>3369.0</v>
      </c>
      <c r="D444" s="4">
        <v>2.58999991416931</v>
      </c>
      <c r="E444" s="4">
        <v>2.58999991416931</v>
      </c>
      <c r="F444" s="4">
        <v>0.0</v>
      </c>
      <c r="G444" s="4">
        <v>0.0</v>
      </c>
      <c r="H444" s="4">
        <v>0.0</v>
      </c>
      <c r="I444" s="4">
        <v>2.58999991416931</v>
      </c>
      <c r="J444" s="4">
        <v>0.0</v>
      </c>
      <c r="K444" s="4">
        <v>0.0</v>
      </c>
      <c r="L444" s="4">
        <v>0.0</v>
      </c>
      <c r="M444" s="4">
        <v>108.0</v>
      </c>
      <c r="N444" s="4">
        <v>825.0</v>
      </c>
      <c r="O444" s="4">
        <v>1623.0</v>
      </c>
    </row>
    <row r="445">
      <c r="A445" s="4">
        <v>4.445114986E9</v>
      </c>
      <c r="B445" s="5">
        <v>42472.0</v>
      </c>
      <c r="C445" s="4">
        <v>3276.0</v>
      </c>
      <c r="D445" s="4">
        <v>2.20000004768372</v>
      </c>
      <c r="E445" s="4">
        <v>2.20000004768372</v>
      </c>
      <c r="F445" s="4">
        <v>0.0</v>
      </c>
      <c r="G445" s="4">
        <v>0.0</v>
      </c>
      <c r="H445" s="4">
        <v>0.0</v>
      </c>
      <c r="I445" s="4">
        <v>2.20000004768372</v>
      </c>
      <c r="J445" s="4">
        <v>0.0</v>
      </c>
      <c r="K445" s="4">
        <v>0.0</v>
      </c>
      <c r="L445" s="4">
        <v>0.0</v>
      </c>
      <c r="M445" s="4">
        <v>196.0</v>
      </c>
      <c r="N445" s="4">
        <v>787.0</v>
      </c>
      <c r="O445" s="4">
        <v>2113.0</v>
      </c>
    </row>
    <row r="446">
      <c r="A446" s="4">
        <v>4.445114986E9</v>
      </c>
      <c r="B446" s="5">
        <v>42473.0</v>
      </c>
      <c r="C446" s="4">
        <v>2961.0</v>
      </c>
      <c r="D446" s="4">
        <v>1.99000000953674</v>
      </c>
      <c r="E446" s="4">
        <v>1.99000000953674</v>
      </c>
      <c r="F446" s="4">
        <v>0.0</v>
      </c>
      <c r="G446" s="4">
        <v>0.0</v>
      </c>
      <c r="H446" s="4">
        <v>0.0</v>
      </c>
      <c r="I446" s="4">
        <v>1.99000000953674</v>
      </c>
      <c r="J446" s="4">
        <v>0.0</v>
      </c>
      <c r="K446" s="4">
        <v>0.0</v>
      </c>
      <c r="L446" s="4">
        <v>0.0</v>
      </c>
      <c r="M446" s="4">
        <v>194.0</v>
      </c>
      <c r="N446" s="4">
        <v>840.0</v>
      </c>
      <c r="O446" s="4">
        <v>2095.0</v>
      </c>
    </row>
    <row r="447">
      <c r="A447" s="4">
        <v>4.445114986E9</v>
      </c>
      <c r="B447" s="5">
        <v>42474.0</v>
      </c>
      <c r="C447" s="4">
        <v>3974.0</v>
      </c>
      <c r="D447" s="4">
        <v>2.67000007629395</v>
      </c>
      <c r="E447" s="4">
        <v>2.67000007629395</v>
      </c>
      <c r="F447" s="4">
        <v>0.0</v>
      </c>
      <c r="G447" s="4">
        <v>0.0</v>
      </c>
      <c r="H447" s="4">
        <v>0.0</v>
      </c>
      <c r="I447" s="4">
        <v>2.67000007629395</v>
      </c>
      <c r="J447" s="4">
        <v>0.0</v>
      </c>
      <c r="K447" s="4">
        <v>0.0</v>
      </c>
      <c r="L447" s="4">
        <v>0.0</v>
      </c>
      <c r="M447" s="4">
        <v>231.0</v>
      </c>
      <c r="N447" s="4">
        <v>717.0</v>
      </c>
      <c r="O447" s="4">
        <v>2194.0</v>
      </c>
    </row>
    <row r="448">
      <c r="A448" s="4">
        <v>4.445114986E9</v>
      </c>
      <c r="B448" s="5">
        <v>42475.0</v>
      </c>
      <c r="C448" s="4">
        <v>7198.0</v>
      </c>
      <c r="D448" s="4">
        <v>4.82999992370605</v>
      </c>
      <c r="E448" s="4">
        <v>4.82999992370605</v>
      </c>
      <c r="F448" s="4">
        <v>0.0</v>
      </c>
      <c r="G448" s="4">
        <v>0.0</v>
      </c>
      <c r="H448" s="4">
        <v>0.0</v>
      </c>
      <c r="I448" s="4">
        <v>4.82999992370605</v>
      </c>
      <c r="J448" s="4">
        <v>0.0</v>
      </c>
      <c r="K448" s="4">
        <v>0.0</v>
      </c>
      <c r="L448" s="4">
        <v>0.0</v>
      </c>
      <c r="M448" s="4">
        <v>350.0</v>
      </c>
      <c r="N448" s="4">
        <v>711.0</v>
      </c>
      <c r="O448" s="4">
        <v>2496.0</v>
      </c>
    </row>
    <row r="449">
      <c r="A449" s="4">
        <v>4.445114986E9</v>
      </c>
      <c r="B449" s="5">
        <v>42476.0</v>
      </c>
      <c r="C449" s="4">
        <v>3945.0</v>
      </c>
      <c r="D449" s="4">
        <v>2.65000009536743</v>
      </c>
      <c r="E449" s="4">
        <v>2.65000009536743</v>
      </c>
      <c r="F449" s="4">
        <v>0.0</v>
      </c>
      <c r="G449" s="4">
        <v>0.0</v>
      </c>
      <c r="H449" s="4">
        <v>0.0</v>
      </c>
      <c r="I449" s="4">
        <v>2.65000009536743</v>
      </c>
      <c r="J449" s="4">
        <v>0.0</v>
      </c>
      <c r="K449" s="4">
        <v>0.0</v>
      </c>
      <c r="L449" s="4">
        <v>0.0</v>
      </c>
      <c r="M449" s="4">
        <v>225.0</v>
      </c>
      <c r="N449" s="4">
        <v>716.0</v>
      </c>
      <c r="O449" s="4">
        <v>2180.0</v>
      </c>
    </row>
    <row r="450">
      <c r="A450" s="4">
        <v>4.445114986E9</v>
      </c>
      <c r="B450" s="5">
        <v>42477.0</v>
      </c>
      <c r="C450" s="4">
        <v>2268.0</v>
      </c>
      <c r="D450" s="4">
        <v>1.51999998092651</v>
      </c>
      <c r="E450" s="4">
        <v>1.51999998092651</v>
      </c>
      <c r="F450" s="4">
        <v>0.0</v>
      </c>
      <c r="G450" s="4">
        <v>0.0</v>
      </c>
      <c r="H450" s="4">
        <v>0.0</v>
      </c>
      <c r="I450" s="4">
        <v>1.51999998092651</v>
      </c>
      <c r="J450" s="4">
        <v>0.0</v>
      </c>
      <c r="K450" s="4">
        <v>0.0</v>
      </c>
      <c r="L450" s="4">
        <v>0.0</v>
      </c>
      <c r="M450" s="4">
        <v>114.0</v>
      </c>
      <c r="N450" s="4">
        <v>1219.0</v>
      </c>
      <c r="O450" s="4">
        <v>1933.0</v>
      </c>
    </row>
    <row r="451">
      <c r="A451" s="4">
        <v>4.445114986E9</v>
      </c>
      <c r="B451" s="5">
        <v>42478.0</v>
      </c>
      <c r="C451" s="4">
        <v>6155.0</v>
      </c>
      <c r="D451" s="4">
        <v>4.23999977111816</v>
      </c>
      <c r="E451" s="4">
        <v>4.23999977111816</v>
      </c>
      <c r="F451" s="4">
        <v>0.0</v>
      </c>
      <c r="G451" s="4">
        <v>2.0</v>
      </c>
      <c r="H451" s="4">
        <v>0.28999999165535</v>
      </c>
      <c r="I451" s="4">
        <v>1.95000004768372</v>
      </c>
      <c r="J451" s="4">
        <v>0.0</v>
      </c>
      <c r="K451" s="4">
        <v>25.0</v>
      </c>
      <c r="L451" s="4">
        <v>6.0</v>
      </c>
      <c r="M451" s="4">
        <v>162.0</v>
      </c>
      <c r="N451" s="4">
        <v>1247.0</v>
      </c>
      <c r="O451" s="4">
        <v>2248.0</v>
      </c>
    </row>
    <row r="452">
      <c r="A452" s="4">
        <v>4.445114986E9</v>
      </c>
      <c r="B452" s="5">
        <v>42479.0</v>
      </c>
      <c r="C452" s="4">
        <v>2064.0</v>
      </c>
      <c r="D452" s="4">
        <v>1.38999998569489</v>
      </c>
      <c r="E452" s="4">
        <v>1.38999998569489</v>
      </c>
      <c r="F452" s="4">
        <v>0.0</v>
      </c>
      <c r="G452" s="4">
        <v>0.0</v>
      </c>
      <c r="H452" s="4">
        <v>0.0</v>
      </c>
      <c r="I452" s="4">
        <v>1.38999998569489</v>
      </c>
      <c r="J452" s="4">
        <v>0.0</v>
      </c>
      <c r="K452" s="4">
        <v>0.0</v>
      </c>
      <c r="L452" s="4">
        <v>0.0</v>
      </c>
      <c r="M452" s="4">
        <v>121.0</v>
      </c>
      <c r="N452" s="4">
        <v>895.0</v>
      </c>
      <c r="O452" s="4">
        <v>1954.0</v>
      </c>
    </row>
    <row r="453">
      <c r="A453" s="4">
        <v>4.445114986E9</v>
      </c>
      <c r="B453" s="5">
        <v>42480.0</v>
      </c>
      <c r="C453" s="4">
        <v>2072.0</v>
      </c>
      <c r="D453" s="4">
        <v>1.38999998569489</v>
      </c>
      <c r="E453" s="4">
        <v>1.38999998569489</v>
      </c>
      <c r="F453" s="4">
        <v>0.0</v>
      </c>
      <c r="G453" s="4">
        <v>0.0</v>
      </c>
      <c r="H453" s="4">
        <v>0.0</v>
      </c>
      <c r="I453" s="4">
        <v>1.38999998569489</v>
      </c>
      <c r="J453" s="4">
        <v>0.0</v>
      </c>
      <c r="K453" s="4">
        <v>0.0</v>
      </c>
      <c r="L453" s="4">
        <v>0.0</v>
      </c>
      <c r="M453" s="4">
        <v>137.0</v>
      </c>
      <c r="N453" s="4">
        <v>841.0</v>
      </c>
      <c r="O453" s="4">
        <v>1974.0</v>
      </c>
    </row>
    <row r="454">
      <c r="A454" s="4">
        <v>4.445114986E9</v>
      </c>
      <c r="B454" s="5">
        <v>42481.0</v>
      </c>
      <c r="C454" s="4">
        <v>3809.0</v>
      </c>
      <c r="D454" s="4">
        <v>2.55999994277954</v>
      </c>
      <c r="E454" s="4">
        <v>2.55999994277954</v>
      </c>
      <c r="F454" s="4">
        <v>0.0</v>
      </c>
      <c r="G454" s="4">
        <v>0.0</v>
      </c>
      <c r="H454" s="4">
        <v>0.0</v>
      </c>
      <c r="I454" s="4">
        <v>2.53999996185303</v>
      </c>
      <c r="J454" s="4">
        <v>0.0</v>
      </c>
      <c r="K454" s="4">
        <v>0.0</v>
      </c>
      <c r="L454" s="4">
        <v>0.0</v>
      </c>
      <c r="M454" s="4">
        <v>215.0</v>
      </c>
      <c r="N454" s="4">
        <v>756.0</v>
      </c>
      <c r="O454" s="4">
        <v>2150.0</v>
      </c>
    </row>
    <row r="455">
      <c r="A455" s="4">
        <v>4.445114986E9</v>
      </c>
      <c r="B455" s="5">
        <v>42482.0</v>
      </c>
      <c r="C455" s="4">
        <v>6831.0</v>
      </c>
      <c r="D455" s="4">
        <v>4.57999992370605</v>
      </c>
      <c r="E455" s="4">
        <v>4.57999992370605</v>
      </c>
      <c r="F455" s="4">
        <v>0.0</v>
      </c>
      <c r="G455" s="4">
        <v>0.0</v>
      </c>
      <c r="H455" s="4">
        <v>0.0</v>
      </c>
      <c r="I455" s="4">
        <v>4.57999992370605</v>
      </c>
      <c r="J455" s="4">
        <v>0.0</v>
      </c>
      <c r="K455" s="4">
        <v>0.0</v>
      </c>
      <c r="L455" s="4">
        <v>0.0</v>
      </c>
      <c r="M455" s="4">
        <v>317.0</v>
      </c>
      <c r="N455" s="4">
        <v>706.0</v>
      </c>
      <c r="O455" s="4">
        <v>2432.0</v>
      </c>
    </row>
    <row r="456">
      <c r="A456" s="4">
        <v>4.445114986E9</v>
      </c>
      <c r="B456" s="5">
        <v>42483.0</v>
      </c>
      <c r="C456" s="4">
        <v>4363.0</v>
      </c>
      <c r="D456" s="4">
        <v>2.9300000667572</v>
      </c>
      <c r="E456" s="4">
        <v>2.9300000667572</v>
      </c>
      <c r="F456" s="4">
        <v>0.0</v>
      </c>
      <c r="G456" s="4">
        <v>0.0</v>
      </c>
      <c r="H456" s="4">
        <v>0.0</v>
      </c>
      <c r="I456" s="4">
        <v>2.9300000667572</v>
      </c>
      <c r="J456" s="4">
        <v>0.0</v>
      </c>
      <c r="K456" s="4">
        <v>0.0</v>
      </c>
      <c r="L456" s="4">
        <v>0.0</v>
      </c>
      <c r="M456" s="4">
        <v>201.0</v>
      </c>
      <c r="N456" s="4">
        <v>1239.0</v>
      </c>
      <c r="O456" s="4">
        <v>2149.0</v>
      </c>
    </row>
    <row r="457">
      <c r="A457" s="4">
        <v>4.445114986E9</v>
      </c>
      <c r="B457" s="5">
        <v>42484.0</v>
      </c>
      <c r="C457" s="4">
        <v>5002.0</v>
      </c>
      <c r="D457" s="4">
        <v>3.35999989509583</v>
      </c>
      <c r="E457" s="4">
        <v>3.35999989509583</v>
      </c>
      <c r="F457" s="4">
        <v>0.0</v>
      </c>
      <c r="G457" s="4">
        <v>0.0</v>
      </c>
      <c r="H457" s="4">
        <v>0.0</v>
      </c>
      <c r="I457" s="4">
        <v>3.35999989509583</v>
      </c>
      <c r="J457" s="4">
        <v>0.0</v>
      </c>
      <c r="K457" s="4">
        <v>0.0</v>
      </c>
      <c r="L457" s="4">
        <v>0.0</v>
      </c>
      <c r="M457" s="4">
        <v>244.0</v>
      </c>
      <c r="N457" s="4">
        <v>1196.0</v>
      </c>
      <c r="O457" s="4">
        <v>2247.0</v>
      </c>
    </row>
    <row r="458">
      <c r="A458" s="4">
        <v>4.445114986E9</v>
      </c>
      <c r="B458" s="5">
        <v>42485.0</v>
      </c>
      <c r="C458" s="4">
        <v>3385.0</v>
      </c>
      <c r="D458" s="4">
        <v>2.26999998092651</v>
      </c>
      <c r="E458" s="4">
        <v>2.26999998092651</v>
      </c>
      <c r="F458" s="4">
        <v>0.0</v>
      </c>
      <c r="G458" s="4">
        <v>0.0</v>
      </c>
      <c r="H458" s="4">
        <v>0.0</v>
      </c>
      <c r="I458" s="4">
        <v>2.26999998092651</v>
      </c>
      <c r="J458" s="4">
        <v>0.0</v>
      </c>
      <c r="K458" s="4">
        <v>0.0</v>
      </c>
      <c r="L458" s="4">
        <v>0.0</v>
      </c>
      <c r="M458" s="4">
        <v>179.0</v>
      </c>
      <c r="N458" s="4">
        <v>916.0</v>
      </c>
      <c r="O458" s="4">
        <v>2070.0</v>
      </c>
    </row>
    <row r="459">
      <c r="A459" s="4">
        <v>4.445114986E9</v>
      </c>
      <c r="B459" s="5">
        <v>42486.0</v>
      </c>
      <c r="C459" s="4">
        <v>6326.0</v>
      </c>
      <c r="D459" s="4">
        <v>4.40999984741211</v>
      </c>
      <c r="E459" s="4">
        <v>4.40999984741211</v>
      </c>
      <c r="F459" s="4">
        <v>0.0</v>
      </c>
      <c r="G459" s="4">
        <v>2.41000008583069</v>
      </c>
      <c r="H459" s="4">
        <v>0.0399999991059303</v>
      </c>
      <c r="I459" s="4">
        <v>1.96000003814697</v>
      </c>
      <c r="J459" s="4">
        <v>0.0</v>
      </c>
      <c r="K459" s="4">
        <v>29.0</v>
      </c>
      <c r="L459" s="4">
        <v>1.0</v>
      </c>
      <c r="M459" s="4">
        <v>180.0</v>
      </c>
      <c r="N459" s="4">
        <v>839.0</v>
      </c>
      <c r="O459" s="4">
        <v>2291.0</v>
      </c>
    </row>
    <row r="460">
      <c r="A460" s="4">
        <v>4.445114986E9</v>
      </c>
      <c r="B460" s="5">
        <v>42487.0</v>
      </c>
      <c r="C460" s="4">
        <v>7243.0</v>
      </c>
      <c r="D460" s="4">
        <v>5.03000020980835</v>
      </c>
      <c r="E460" s="4">
        <v>5.03000020980835</v>
      </c>
      <c r="F460" s="4">
        <v>0.0</v>
      </c>
      <c r="G460" s="4">
        <v>2.61999988555908</v>
      </c>
      <c r="H460" s="4">
        <v>0.0299999993294477</v>
      </c>
      <c r="I460" s="4">
        <v>2.38000011444092</v>
      </c>
      <c r="J460" s="4">
        <v>0.0</v>
      </c>
      <c r="K460" s="4">
        <v>32.0</v>
      </c>
      <c r="L460" s="4">
        <v>1.0</v>
      </c>
      <c r="M460" s="4">
        <v>194.0</v>
      </c>
      <c r="N460" s="4">
        <v>839.0</v>
      </c>
      <c r="O460" s="4">
        <v>2361.0</v>
      </c>
    </row>
    <row r="461">
      <c r="A461" s="4">
        <v>4.445114986E9</v>
      </c>
      <c r="B461" s="5">
        <v>42488.0</v>
      </c>
      <c r="C461" s="4">
        <v>4493.0</v>
      </c>
      <c r="D461" s="4">
        <v>3.00999999046326</v>
      </c>
      <c r="E461" s="4">
        <v>3.00999999046326</v>
      </c>
      <c r="F461" s="4">
        <v>0.0</v>
      </c>
      <c r="G461" s="4">
        <v>0.0</v>
      </c>
      <c r="H461" s="4">
        <v>0.0</v>
      </c>
      <c r="I461" s="4">
        <v>3.00999999046326</v>
      </c>
      <c r="J461" s="4">
        <v>0.0</v>
      </c>
      <c r="K461" s="4">
        <v>0.0</v>
      </c>
      <c r="L461" s="4">
        <v>0.0</v>
      </c>
      <c r="M461" s="4">
        <v>236.0</v>
      </c>
      <c r="N461" s="4">
        <v>762.0</v>
      </c>
      <c r="O461" s="4">
        <v>2203.0</v>
      </c>
    </row>
    <row r="462">
      <c r="A462" s="4">
        <v>4.445114986E9</v>
      </c>
      <c r="B462" s="5">
        <v>42489.0</v>
      </c>
      <c r="C462" s="4">
        <v>4676.0</v>
      </c>
      <c r="D462" s="4">
        <v>3.14000010490417</v>
      </c>
      <c r="E462" s="4">
        <v>3.14000010490417</v>
      </c>
      <c r="F462" s="4">
        <v>0.0</v>
      </c>
      <c r="G462" s="4">
        <v>0.0</v>
      </c>
      <c r="H462" s="4">
        <v>0.0</v>
      </c>
      <c r="I462" s="4">
        <v>3.13000011444092</v>
      </c>
      <c r="J462" s="4">
        <v>0.0</v>
      </c>
      <c r="K462" s="4">
        <v>0.0</v>
      </c>
      <c r="L462" s="4">
        <v>0.0</v>
      </c>
      <c r="M462" s="4">
        <v>226.0</v>
      </c>
      <c r="N462" s="4">
        <v>1106.0</v>
      </c>
      <c r="O462" s="4">
        <v>2196.0</v>
      </c>
    </row>
    <row r="463">
      <c r="A463" s="4">
        <v>4.445114986E9</v>
      </c>
      <c r="B463" s="5">
        <v>42490.0</v>
      </c>
      <c r="C463" s="4">
        <v>6222.0</v>
      </c>
      <c r="D463" s="4">
        <v>4.17999982833862</v>
      </c>
      <c r="E463" s="4">
        <v>4.17999982833862</v>
      </c>
      <c r="F463" s="4">
        <v>0.0</v>
      </c>
      <c r="G463" s="4">
        <v>0.0</v>
      </c>
      <c r="H463" s="4">
        <v>0.0</v>
      </c>
      <c r="I463" s="4">
        <v>4.17999982833862</v>
      </c>
      <c r="J463" s="4">
        <v>0.0</v>
      </c>
      <c r="K463" s="4">
        <v>0.0</v>
      </c>
      <c r="L463" s="4">
        <v>0.0</v>
      </c>
      <c r="M463" s="4">
        <v>290.0</v>
      </c>
      <c r="N463" s="4">
        <v>797.0</v>
      </c>
      <c r="O463" s="4">
        <v>2363.0</v>
      </c>
    </row>
    <row r="464">
      <c r="A464" s="4">
        <v>4.445114986E9</v>
      </c>
      <c r="B464" s="5">
        <v>42491.0</v>
      </c>
      <c r="C464" s="4">
        <v>5232.0</v>
      </c>
      <c r="D464" s="4">
        <v>3.50999999046326</v>
      </c>
      <c r="E464" s="4">
        <v>3.50999999046326</v>
      </c>
      <c r="F464" s="4">
        <v>0.0</v>
      </c>
      <c r="G464" s="4">
        <v>0.0</v>
      </c>
      <c r="H464" s="4">
        <v>0.0</v>
      </c>
      <c r="I464" s="4">
        <v>3.50999999046326</v>
      </c>
      <c r="J464" s="4">
        <v>0.0</v>
      </c>
      <c r="K464" s="4">
        <v>0.0</v>
      </c>
      <c r="L464" s="4">
        <v>0.0</v>
      </c>
      <c r="M464" s="4">
        <v>240.0</v>
      </c>
      <c r="N464" s="4">
        <v>741.0</v>
      </c>
      <c r="O464" s="4">
        <v>2246.0</v>
      </c>
    </row>
    <row r="465">
      <c r="A465" s="4">
        <v>4.445114986E9</v>
      </c>
      <c r="B465" s="5">
        <v>42492.0</v>
      </c>
      <c r="C465" s="4">
        <v>6910.0</v>
      </c>
      <c r="D465" s="4">
        <v>4.75</v>
      </c>
      <c r="E465" s="4">
        <v>4.75</v>
      </c>
      <c r="F465" s="4">
        <v>0.0</v>
      </c>
      <c r="G465" s="4">
        <v>2.21000003814697</v>
      </c>
      <c r="H465" s="4">
        <v>0.189999997615814</v>
      </c>
      <c r="I465" s="4">
        <v>2.34999990463257</v>
      </c>
      <c r="J465" s="4">
        <v>0.0</v>
      </c>
      <c r="K465" s="4">
        <v>27.0</v>
      </c>
      <c r="L465" s="4">
        <v>4.0</v>
      </c>
      <c r="M465" s="4">
        <v>200.0</v>
      </c>
      <c r="N465" s="4">
        <v>667.0</v>
      </c>
      <c r="O465" s="4">
        <v>2336.0</v>
      </c>
    </row>
    <row r="466">
      <c r="A466" s="4">
        <v>4.445114986E9</v>
      </c>
      <c r="B466" s="5">
        <v>42493.0</v>
      </c>
      <c r="C466" s="4">
        <v>7502.0</v>
      </c>
      <c r="D466" s="4">
        <v>5.17999982833862</v>
      </c>
      <c r="E466" s="4">
        <v>5.17999982833862</v>
      </c>
      <c r="F466" s="4">
        <v>0.0</v>
      </c>
      <c r="G466" s="4">
        <v>2.48000001907349</v>
      </c>
      <c r="H466" s="4">
        <v>0.109999999403954</v>
      </c>
      <c r="I466" s="4">
        <v>2.57999992370605</v>
      </c>
      <c r="J466" s="4">
        <v>0.0</v>
      </c>
      <c r="K466" s="4">
        <v>30.0</v>
      </c>
      <c r="L466" s="4">
        <v>2.0</v>
      </c>
      <c r="M466" s="4">
        <v>233.0</v>
      </c>
      <c r="N466" s="4">
        <v>725.0</v>
      </c>
      <c r="O466" s="4">
        <v>2421.0</v>
      </c>
    </row>
    <row r="467">
      <c r="A467" s="4">
        <v>4.445114986E9</v>
      </c>
      <c r="B467" s="5">
        <v>42494.0</v>
      </c>
      <c r="C467" s="4">
        <v>2923.0</v>
      </c>
      <c r="D467" s="4">
        <v>1.96000003814697</v>
      </c>
      <c r="E467" s="4">
        <v>1.96000003814697</v>
      </c>
      <c r="F467" s="4">
        <v>0.0</v>
      </c>
      <c r="G467" s="4">
        <v>0.0</v>
      </c>
      <c r="H467" s="4">
        <v>0.0</v>
      </c>
      <c r="I467" s="4">
        <v>1.96000003814697</v>
      </c>
      <c r="J467" s="4">
        <v>0.0</v>
      </c>
      <c r="K467" s="4">
        <v>0.0</v>
      </c>
      <c r="L467" s="4">
        <v>0.0</v>
      </c>
      <c r="M467" s="4">
        <v>180.0</v>
      </c>
      <c r="N467" s="4">
        <v>897.0</v>
      </c>
      <c r="O467" s="4">
        <v>2070.0</v>
      </c>
    </row>
    <row r="468">
      <c r="A468" s="4">
        <v>4.445114986E9</v>
      </c>
      <c r="B468" s="5">
        <v>42495.0</v>
      </c>
      <c r="C468" s="4">
        <v>3800.0</v>
      </c>
      <c r="D468" s="4">
        <v>2.54999995231628</v>
      </c>
      <c r="E468" s="4">
        <v>2.54999995231628</v>
      </c>
      <c r="F468" s="4">
        <v>0.0</v>
      </c>
      <c r="G468" s="4">
        <v>0.119999997317791</v>
      </c>
      <c r="H468" s="4">
        <v>0.239999994635582</v>
      </c>
      <c r="I468" s="4">
        <v>2.1800000667572</v>
      </c>
      <c r="J468" s="4">
        <v>0.0</v>
      </c>
      <c r="K468" s="4">
        <v>2.0</v>
      </c>
      <c r="L468" s="4">
        <v>6.0</v>
      </c>
      <c r="M468" s="4">
        <v>185.0</v>
      </c>
      <c r="N468" s="4">
        <v>734.0</v>
      </c>
      <c r="O468" s="4">
        <v>2120.0</v>
      </c>
    </row>
    <row r="469">
      <c r="A469" s="4">
        <v>4.445114986E9</v>
      </c>
      <c r="B469" s="5">
        <v>42496.0</v>
      </c>
      <c r="C469" s="4">
        <v>4514.0</v>
      </c>
      <c r="D469" s="4">
        <v>3.02999997138977</v>
      </c>
      <c r="E469" s="4">
        <v>3.02999997138977</v>
      </c>
      <c r="F469" s="4">
        <v>0.0</v>
      </c>
      <c r="G469" s="4">
        <v>0.0</v>
      </c>
      <c r="H469" s="4">
        <v>0.0</v>
      </c>
      <c r="I469" s="4">
        <v>3.02999997138977</v>
      </c>
      <c r="J469" s="4">
        <v>0.0</v>
      </c>
      <c r="K469" s="4">
        <v>0.0</v>
      </c>
      <c r="L469" s="4">
        <v>0.0</v>
      </c>
      <c r="M469" s="4">
        <v>229.0</v>
      </c>
      <c r="N469" s="4">
        <v>809.0</v>
      </c>
      <c r="O469" s="4">
        <v>2211.0</v>
      </c>
    </row>
    <row r="470">
      <c r="A470" s="4">
        <v>4.445114986E9</v>
      </c>
      <c r="B470" s="5">
        <v>42497.0</v>
      </c>
      <c r="C470" s="4">
        <v>5183.0</v>
      </c>
      <c r="D470" s="4">
        <v>3.58999991416931</v>
      </c>
      <c r="E470" s="4">
        <v>3.58999991416931</v>
      </c>
      <c r="F470" s="4">
        <v>0.0</v>
      </c>
      <c r="G470" s="4">
        <v>2.13000011444092</v>
      </c>
      <c r="H470" s="4">
        <v>0.189999997615814</v>
      </c>
      <c r="I470" s="4">
        <v>1.25</v>
      </c>
      <c r="J470" s="4">
        <v>0.0</v>
      </c>
      <c r="K470" s="4">
        <v>26.0</v>
      </c>
      <c r="L470" s="4">
        <v>4.0</v>
      </c>
      <c r="M470" s="4">
        <v>108.0</v>
      </c>
      <c r="N470" s="4">
        <v>866.0</v>
      </c>
      <c r="O470" s="4">
        <v>2123.0</v>
      </c>
    </row>
    <row r="471">
      <c r="A471" s="4">
        <v>4.445114986E9</v>
      </c>
      <c r="B471" s="5">
        <v>42498.0</v>
      </c>
      <c r="C471" s="4">
        <v>7303.0</v>
      </c>
      <c r="D471" s="4">
        <v>4.90000009536743</v>
      </c>
      <c r="E471" s="4">
        <v>4.90000009536743</v>
      </c>
      <c r="F471" s="4">
        <v>0.0</v>
      </c>
      <c r="G471" s="4">
        <v>0.0</v>
      </c>
      <c r="H471" s="4">
        <v>0.25</v>
      </c>
      <c r="I471" s="4">
        <v>4.65000009536743</v>
      </c>
      <c r="J471" s="4">
        <v>0.0</v>
      </c>
      <c r="K471" s="4">
        <v>0.0</v>
      </c>
      <c r="L471" s="4">
        <v>8.0</v>
      </c>
      <c r="M471" s="4">
        <v>308.0</v>
      </c>
      <c r="N471" s="4">
        <v>733.0</v>
      </c>
      <c r="O471" s="4">
        <v>2423.0</v>
      </c>
    </row>
    <row r="472">
      <c r="A472" s="4">
        <v>4.445114986E9</v>
      </c>
      <c r="B472" s="5">
        <v>42499.0</v>
      </c>
      <c r="C472" s="4">
        <v>5275.0</v>
      </c>
      <c r="D472" s="4">
        <v>3.53999996185303</v>
      </c>
      <c r="E472" s="4">
        <v>3.53999996185303</v>
      </c>
      <c r="F472" s="4">
        <v>0.0</v>
      </c>
      <c r="G472" s="4">
        <v>0.0</v>
      </c>
      <c r="H472" s="4">
        <v>0.0</v>
      </c>
      <c r="I472" s="4">
        <v>3.53999996185303</v>
      </c>
      <c r="J472" s="4">
        <v>0.0</v>
      </c>
      <c r="K472" s="4">
        <v>0.0</v>
      </c>
      <c r="L472" s="4">
        <v>0.0</v>
      </c>
      <c r="M472" s="4">
        <v>266.0</v>
      </c>
      <c r="N472" s="4">
        <v>641.0</v>
      </c>
      <c r="O472" s="4">
        <v>2281.0</v>
      </c>
    </row>
    <row r="473">
      <c r="A473" s="4">
        <v>4.445114986E9</v>
      </c>
      <c r="B473" s="5">
        <v>42500.0</v>
      </c>
      <c r="C473" s="4">
        <v>3915.0</v>
      </c>
      <c r="D473" s="4">
        <v>2.63000011444092</v>
      </c>
      <c r="E473" s="4">
        <v>2.63000011444092</v>
      </c>
      <c r="F473" s="4">
        <v>0.0</v>
      </c>
      <c r="G473" s="4">
        <v>0.0</v>
      </c>
      <c r="H473" s="4">
        <v>0.0</v>
      </c>
      <c r="I473" s="4">
        <v>2.63000011444092</v>
      </c>
      <c r="J473" s="4">
        <v>0.0</v>
      </c>
      <c r="K473" s="4">
        <v>0.0</v>
      </c>
      <c r="L473" s="4">
        <v>0.0</v>
      </c>
      <c r="M473" s="4">
        <v>231.0</v>
      </c>
      <c r="N473" s="4">
        <v>783.0</v>
      </c>
      <c r="O473" s="4">
        <v>2181.0</v>
      </c>
    </row>
    <row r="474">
      <c r="A474" s="4">
        <v>4.445114986E9</v>
      </c>
      <c r="B474" s="5">
        <v>42501.0</v>
      </c>
      <c r="C474" s="4">
        <v>9105.0</v>
      </c>
      <c r="D474" s="4">
        <v>6.1100001335144</v>
      </c>
      <c r="E474" s="4">
        <v>6.1100001335144</v>
      </c>
      <c r="F474" s="4">
        <v>0.0</v>
      </c>
      <c r="G474" s="4">
        <v>2.25</v>
      </c>
      <c r="H474" s="4">
        <v>1.0</v>
      </c>
      <c r="I474" s="4">
        <v>2.85999989509583</v>
      </c>
      <c r="J474" s="4">
        <v>0.0</v>
      </c>
      <c r="K474" s="4">
        <v>34.0</v>
      </c>
      <c r="L474" s="4">
        <v>22.0</v>
      </c>
      <c r="M474" s="4">
        <v>232.0</v>
      </c>
      <c r="N474" s="4">
        <v>622.0</v>
      </c>
      <c r="O474" s="4">
        <v>2499.0</v>
      </c>
    </row>
    <row r="475">
      <c r="A475" s="4">
        <v>4.445114986E9</v>
      </c>
      <c r="B475" s="5">
        <v>42502.0</v>
      </c>
      <c r="C475" s="4">
        <v>768.0</v>
      </c>
      <c r="D475" s="4">
        <v>0.519999980926514</v>
      </c>
      <c r="E475" s="4">
        <v>0.519999980926514</v>
      </c>
      <c r="F475" s="4">
        <v>0.0</v>
      </c>
      <c r="G475" s="4">
        <v>0.0</v>
      </c>
      <c r="H475" s="4">
        <v>0.0</v>
      </c>
      <c r="I475" s="4">
        <v>0.519999980926514</v>
      </c>
      <c r="J475" s="4">
        <v>0.0</v>
      </c>
      <c r="K475" s="4">
        <v>0.0</v>
      </c>
      <c r="L475" s="4">
        <v>0.0</v>
      </c>
      <c r="M475" s="4">
        <v>58.0</v>
      </c>
      <c r="N475" s="4">
        <v>380.0</v>
      </c>
      <c r="O475" s="4">
        <v>1212.0</v>
      </c>
    </row>
    <row r="476">
      <c r="A476" s="4">
        <v>4.558609924E9</v>
      </c>
      <c r="B476" s="5">
        <v>42472.0</v>
      </c>
      <c r="C476" s="4">
        <v>5135.0</v>
      </c>
      <c r="D476" s="4">
        <v>3.39000010490417</v>
      </c>
      <c r="E476" s="4">
        <v>3.39000010490417</v>
      </c>
      <c r="F476" s="4">
        <v>0.0</v>
      </c>
      <c r="G476" s="4">
        <v>0.0</v>
      </c>
      <c r="H476" s="4">
        <v>0.0</v>
      </c>
      <c r="I476" s="4">
        <v>3.39000010490417</v>
      </c>
      <c r="J476" s="4">
        <v>0.0</v>
      </c>
      <c r="K476" s="4">
        <v>0.0</v>
      </c>
      <c r="L476" s="4">
        <v>0.0</v>
      </c>
      <c r="M476" s="4">
        <v>318.0</v>
      </c>
      <c r="N476" s="4">
        <v>1122.0</v>
      </c>
      <c r="O476" s="4">
        <v>1909.0</v>
      </c>
    </row>
    <row r="477">
      <c r="A477" s="4">
        <v>4.558609924E9</v>
      </c>
      <c r="B477" s="5">
        <v>42473.0</v>
      </c>
      <c r="C477" s="4">
        <v>4978.0</v>
      </c>
      <c r="D477" s="4">
        <v>3.28999996185303</v>
      </c>
      <c r="E477" s="4">
        <v>3.28999996185303</v>
      </c>
      <c r="F477" s="4">
        <v>0.0</v>
      </c>
      <c r="G477" s="4">
        <v>1.24000000953674</v>
      </c>
      <c r="H477" s="4">
        <v>0.439999997615814</v>
      </c>
      <c r="I477" s="4">
        <v>1.61000001430511</v>
      </c>
      <c r="J477" s="4">
        <v>0.0</v>
      </c>
      <c r="K477" s="4">
        <v>19.0</v>
      </c>
      <c r="L477" s="4">
        <v>7.0</v>
      </c>
      <c r="M477" s="4">
        <v>127.0</v>
      </c>
      <c r="N477" s="4">
        <v>1287.0</v>
      </c>
      <c r="O477" s="4">
        <v>1722.0</v>
      </c>
    </row>
    <row r="478">
      <c r="A478" s="4">
        <v>4.558609924E9</v>
      </c>
      <c r="B478" s="5">
        <v>42474.0</v>
      </c>
      <c r="C478" s="4">
        <v>6799.0</v>
      </c>
      <c r="D478" s="4">
        <v>4.48999977111816</v>
      </c>
      <c r="E478" s="4">
        <v>4.48999977111816</v>
      </c>
      <c r="F478" s="4">
        <v>0.0</v>
      </c>
      <c r="G478" s="4">
        <v>0.0</v>
      </c>
      <c r="H478" s="4">
        <v>0.0</v>
      </c>
      <c r="I478" s="4">
        <v>4.48999977111816</v>
      </c>
      <c r="J478" s="4">
        <v>0.0</v>
      </c>
      <c r="K478" s="4">
        <v>0.0</v>
      </c>
      <c r="L478" s="4">
        <v>0.0</v>
      </c>
      <c r="M478" s="4">
        <v>279.0</v>
      </c>
      <c r="N478" s="4">
        <v>1161.0</v>
      </c>
      <c r="O478" s="4">
        <v>1922.0</v>
      </c>
    </row>
    <row r="479">
      <c r="A479" s="4">
        <v>4.558609924E9</v>
      </c>
      <c r="B479" s="5">
        <v>42475.0</v>
      </c>
      <c r="C479" s="4">
        <v>7795.0</v>
      </c>
      <c r="D479" s="4">
        <v>5.15000009536743</v>
      </c>
      <c r="E479" s="4">
        <v>5.15000009536743</v>
      </c>
      <c r="F479" s="4">
        <v>0.0</v>
      </c>
      <c r="G479" s="4">
        <v>0.589999973773956</v>
      </c>
      <c r="H479" s="4">
        <v>0.839999973773956</v>
      </c>
      <c r="I479" s="4">
        <v>3.73000001907349</v>
      </c>
      <c r="J479" s="4">
        <v>0.0</v>
      </c>
      <c r="K479" s="4">
        <v>17.0</v>
      </c>
      <c r="L479" s="4">
        <v>30.0</v>
      </c>
      <c r="M479" s="4">
        <v>262.0</v>
      </c>
      <c r="N479" s="4">
        <v>1131.0</v>
      </c>
      <c r="O479" s="4">
        <v>2121.0</v>
      </c>
    </row>
    <row r="480">
      <c r="A480" s="4">
        <v>4.558609924E9</v>
      </c>
      <c r="B480" s="5">
        <v>42476.0</v>
      </c>
      <c r="C480" s="4">
        <v>7289.0</v>
      </c>
      <c r="D480" s="4">
        <v>4.82000017166138</v>
      </c>
      <c r="E480" s="4">
        <v>4.82000017166138</v>
      </c>
      <c r="F480" s="4">
        <v>0.0</v>
      </c>
      <c r="G480" s="4">
        <v>0.550000011920929</v>
      </c>
      <c r="H480" s="4">
        <v>0.75</v>
      </c>
      <c r="I480" s="4">
        <v>3.5</v>
      </c>
      <c r="J480" s="4">
        <v>0.0</v>
      </c>
      <c r="K480" s="4">
        <v>8.0</v>
      </c>
      <c r="L480" s="4">
        <v>12.0</v>
      </c>
      <c r="M480" s="4">
        <v>308.0</v>
      </c>
      <c r="N480" s="4">
        <v>1112.0</v>
      </c>
      <c r="O480" s="4">
        <v>1997.0</v>
      </c>
    </row>
    <row r="481">
      <c r="A481" s="4">
        <v>4.558609924E9</v>
      </c>
      <c r="B481" s="5">
        <v>42477.0</v>
      </c>
      <c r="C481" s="4">
        <v>9634.0</v>
      </c>
      <c r="D481" s="4">
        <v>6.40000009536743</v>
      </c>
      <c r="E481" s="4">
        <v>6.40000009536743</v>
      </c>
      <c r="F481" s="4">
        <v>0.0</v>
      </c>
      <c r="G481" s="4">
        <v>0.550000011920929</v>
      </c>
      <c r="H481" s="4">
        <v>1.13999998569489</v>
      </c>
      <c r="I481" s="4">
        <v>4.71000003814697</v>
      </c>
      <c r="J481" s="4">
        <v>0.0</v>
      </c>
      <c r="K481" s="4">
        <v>7.0</v>
      </c>
      <c r="L481" s="4">
        <v>19.0</v>
      </c>
      <c r="M481" s="4">
        <v>304.0</v>
      </c>
      <c r="N481" s="4">
        <v>1110.0</v>
      </c>
      <c r="O481" s="4">
        <v>2117.0</v>
      </c>
    </row>
    <row r="482">
      <c r="A482" s="4">
        <v>4.558609924E9</v>
      </c>
      <c r="B482" s="5">
        <v>42478.0</v>
      </c>
      <c r="C482" s="4">
        <v>8940.0</v>
      </c>
      <c r="D482" s="4">
        <v>5.90999984741211</v>
      </c>
      <c r="E482" s="4">
        <v>5.90999984741211</v>
      </c>
      <c r="F482" s="4">
        <v>0.0</v>
      </c>
      <c r="G482" s="4">
        <v>0.980000019073486</v>
      </c>
      <c r="H482" s="4">
        <v>0.930000007152557</v>
      </c>
      <c r="I482" s="4">
        <v>4.0</v>
      </c>
      <c r="J482" s="4">
        <v>0.0</v>
      </c>
      <c r="K482" s="4">
        <v>14.0</v>
      </c>
      <c r="L482" s="4">
        <v>15.0</v>
      </c>
      <c r="M482" s="4">
        <v>331.0</v>
      </c>
      <c r="N482" s="4">
        <v>1080.0</v>
      </c>
      <c r="O482" s="4">
        <v>2116.0</v>
      </c>
    </row>
    <row r="483">
      <c r="A483" s="4">
        <v>4.558609924E9</v>
      </c>
      <c r="B483" s="5">
        <v>42479.0</v>
      </c>
      <c r="C483" s="4">
        <v>5401.0</v>
      </c>
      <c r="D483" s="4">
        <v>3.5699999332428</v>
      </c>
      <c r="E483" s="4">
        <v>3.5699999332428</v>
      </c>
      <c r="F483" s="4">
        <v>0.0</v>
      </c>
      <c r="G483" s="4">
        <v>0.0500000007450581</v>
      </c>
      <c r="H483" s="4">
        <v>0.360000014305115</v>
      </c>
      <c r="I483" s="4">
        <v>3.16000008583069</v>
      </c>
      <c r="J483" s="4">
        <v>0.0</v>
      </c>
      <c r="K483" s="4">
        <v>1.0</v>
      </c>
      <c r="L483" s="4">
        <v>9.0</v>
      </c>
      <c r="M483" s="4">
        <v>248.0</v>
      </c>
      <c r="N483" s="4">
        <v>1182.0</v>
      </c>
      <c r="O483" s="4">
        <v>1876.0</v>
      </c>
    </row>
    <row r="484">
      <c r="A484" s="4">
        <v>4.558609924E9</v>
      </c>
      <c r="B484" s="5">
        <v>42480.0</v>
      </c>
      <c r="C484" s="4">
        <v>4803.0</v>
      </c>
      <c r="D484" s="4">
        <v>3.17000007629395</v>
      </c>
      <c r="E484" s="4">
        <v>3.17000007629395</v>
      </c>
      <c r="F484" s="4">
        <v>0.0</v>
      </c>
      <c r="G484" s="4">
        <v>0.0</v>
      </c>
      <c r="H484" s="4">
        <v>0.0</v>
      </c>
      <c r="I484" s="4">
        <v>3.17000007629395</v>
      </c>
      <c r="J484" s="4">
        <v>0.0</v>
      </c>
      <c r="K484" s="4">
        <v>0.0</v>
      </c>
      <c r="L484" s="4">
        <v>0.0</v>
      </c>
      <c r="M484" s="4">
        <v>222.0</v>
      </c>
      <c r="N484" s="4">
        <v>1218.0</v>
      </c>
      <c r="O484" s="4">
        <v>1788.0</v>
      </c>
    </row>
    <row r="485">
      <c r="A485" s="4">
        <v>4.558609924E9</v>
      </c>
      <c r="B485" s="5">
        <v>42481.0</v>
      </c>
      <c r="C485" s="4">
        <v>13743.0</v>
      </c>
      <c r="D485" s="4">
        <v>9.07999992370605</v>
      </c>
      <c r="E485" s="4">
        <v>9.07999992370605</v>
      </c>
      <c r="F485" s="4">
        <v>0.0</v>
      </c>
      <c r="G485" s="4">
        <v>0.419999986886978</v>
      </c>
      <c r="H485" s="4">
        <v>0.970000028610229</v>
      </c>
      <c r="I485" s="4">
        <v>7.69999980926514</v>
      </c>
      <c r="J485" s="4">
        <v>0.0</v>
      </c>
      <c r="K485" s="4">
        <v>6.0</v>
      </c>
      <c r="L485" s="4">
        <v>21.0</v>
      </c>
      <c r="M485" s="4">
        <v>432.0</v>
      </c>
      <c r="N485" s="4">
        <v>844.0</v>
      </c>
      <c r="O485" s="4">
        <v>2486.0</v>
      </c>
    </row>
    <row r="486">
      <c r="A486" s="4">
        <v>4.558609924E9</v>
      </c>
      <c r="B486" s="5">
        <v>42482.0</v>
      </c>
      <c r="C486" s="4">
        <v>9601.0</v>
      </c>
      <c r="D486" s="4">
        <v>6.34999990463257</v>
      </c>
      <c r="E486" s="4">
        <v>6.34999990463257</v>
      </c>
      <c r="F486" s="4">
        <v>0.0</v>
      </c>
      <c r="G486" s="4">
        <v>1.37000000476837</v>
      </c>
      <c r="H486" s="4">
        <v>1.5</v>
      </c>
      <c r="I486" s="4">
        <v>3.47000002861023</v>
      </c>
      <c r="J486" s="4">
        <v>0.0</v>
      </c>
      <c r="K486" s="4">
        <v>20.0</v>
      </c>
      <c r="L486" s="4">
        <v>25.0</v>
      </c>
      <c r="M486" s="4">
        <v>273.0</v>
      </c>
      <c r="N486" s="4">
        <v>1122.0</v>
      </c>
      <c r="O486" s="4">
        <v>2094.0</v>
      </c>
    </row>
    <row r="487">
      <c r="A487" s="4">
        <v>4.558609924E9</v>
      </c>
      <c r="B487" s="5">
        <v>42483.0</v>
      </c>
      <c r="C487" s="4">
        <v>6890.0</v>
      </c>
      <c r="D487" s="4">
        <v>4.55000019073486</v>
      </c>
      <c r="E487" s="4">
        <v>4.55000019073486</v>
      </c>
      <c r="F487" s="4">
        <v>0.0</v>
      </c>
      <c r="G487" s="4">
        <v>0.340000003576279</v>
      </c>
      <c r="H487" s="4">
        <v>0.200000002980232</v>
      </c>
      <c r="I487" s="4">
        <v>4.01000022888184</v>
      </c>
      <c r="J487" s="4">
        <v>0.0</v>
      </c>
      <c r="K487" s="4">
        <v>5.0</v>
      </c>
      <c r="L487" s="4">
        <v>5.0</v>
      </c>
      <c r="M487" s="4">
        <v>308.0</v>
      </c>
      <c r="N487" s="4">
        <v>1122.0</v>
      </c>
      <c r="O487" s="4">
        <v>2085.0</v>
      </c>
    </row>
    <row r="488">
      <c r="A488" s="4">
        <v>4.558609924E9</v>
      </c>
      <c r="B488" s="5">
        <v>42484.0</v>
      </c>
      <c r="C488" s="4">
        <v>8563.0</v>
      </c>
      <c r="D488" s="4">
        <v>5.65999984741211</v>
      </c>
      <c r="E488" s="4">
        <v>5.65999984741211</v>
      </c>
      <c r="F488" s="4">
        <v>0.0</v>
      </c>
      <c r="G488" s="4">
        <v>0.0</v>
      </c>
      <c r="H488" s="4">
        <v>0.0</v>
      </c>
      <c r="I488" s="4">
        <v>5.65000009536743</v>
      </c>
      <c r="J488" s="4">
        <v>0.0</v>
      </c>
      <c r="K488" s="4">
        <v>0.0</v>
      </c>
      <c r="L488" s="4">
        <v>0.0</v>
      </c>
      <c r="M488" s="4">
        <v>395.0</v>
      </c>
      <c r="N488" s="4">
        <v>1045.0</v>
      </c>
      <c r="O488" s="4">
        <v>2173.0</v>
      </c>
    </row>
    <row r="489">
      <c r="A489" s="4">
        <v>4.558609924E9</v>
      </c>
      <c r="B489" s="5">
        <v>42485.0</v>
      </c>
      <c r="C489" s="4">
        <v>8095.0</v>
      </c>
      <c r="D489" s="4">
        <v>5.34999990463257</v>
      </c>
      <c r="E489" s="4">
        <v>5.34999990463257</v>
      </c>
      <c r="F489" s="4">
        <v>0.0</v>
      </c>
      <c r="G489" s="4">
        <v>0.589999973773956</v>
      </c>
      <c r="H489" s="4">
        <v>0.25</v>
      </c>
      <c r="I489" s="4">
        <v>4.51000022888184</v>
      </c>
      <c r="J489" s="4">
        <v>0.0</v>
      </c>
      <c r="K489" s="4">
        <v>18.0</v>
      </c>
      <c r="L489" s="4">
        <v>10.0</v>
      </c>
      <c r="M489" s="4">
        <v>340.0</v>
      </c>
      <c r="N489" s="4">
        <v>993.0</v>
      </c>
      <c r="O489" s="4">
        <v>2225.0</v>
      </c>
    </row>
    <row r="490">
      <c r="A490" s="4">
        <v>4.558609924E9</v>
      </c>
      <c r="B490" s="5">
        <v>42486.0</v>
      </c>
      <c r="C490" s="4">
        <v>9148.0</v>
      </c>
      <c r="D490" s="4">
        <v>6.05000019073486</v>
      </c>
      <c r="E490" s="4">
        <v>6.05000019073486</v>
      </c>
      <c r="F490" s="4">
        <v>0.0</v>
      </c>
      <c r="G490" s="4">
        <v>0.430000007152557</v>
      </c>
      <c r="H490" s="4">
        <v>2.02999997138977</v>
      </c>
      <c r="I490" s="4">
        <v>3.58999991416931</v>
      </c>
      <c r="J490" s="4">
        <v>0.0</v>
      </c>
      <c r="K490" s="4">
        <v>12.0</v>
      </c>
      <c r="L490" s="4">
        <v>41.0</v>
      </c>
      <c r="M490" s="4">
        <v>283.0</v>
      </c>
      <c r="N490" s="4">
        <v>1062.0</v>
      </c>
      <c r="O490" s="4">
        <v>2223.0</v>
      </c>
    </row>
    <row r="491">
      <c r="A491" s="4">
        <v>4.558609924E9</v>
      </c>
      <c r="B491" s="5">
        <v>42487.0</v>
      </c>
      <c r="C491" s="4">
        <v>9557.0</v>
      </c>
      <c r="D491" s="4">
        <v>6.32000017166138</v>
      </c>
      <c r="E491" s="4">
        <v>6.32000017166138</v>
      </c>
      <c r="F491" s="4">
        <v>0.0</v>
      </c>
      <c r="G491" s="4">
        <v>1.96000003814697</v>
      </c>
      <c r="H491" s="4">
        <v>0.889999985694885</v>
      </c>
      <c r="I491" s="4">
        <v>3.46000003814697</v>
      </c>
      <c r="J491" s="4">
        <v>0.0</v>
      </c>
      <c r="K491" s="4">
        <v>27.0</v>
      </c>
      <c r="L491" s="4">
        <v>14.0</v>
      </c>
      <c r="M491" s="4">
        <v>312.0</v>
      </c>
      <c r="N491" s="4">
        <v>1087.0</v>
      </c>
      <c r="O491" s="4">
        <v>2098.0</v>
      </c>
    </row>
    <row r="492">
      <c r="A492" s="4">
        <v>4.558609924E9</v>
      </c>
      <c r="B492" s="5">
        <v>42488.0</v>
      </c>
      <c r="C492" s="4">
        <v>9451.0</v>
      </c>
      <c r="D492" s="4">
        <v>6.25</v>
      </c>
      <c r="E492" s="4">
        <v>6.25</v>
      </c>
      <c r="F492" s="4">
        <v>0.0</v>
      </c>
      <c r="G492" s="4">
        <v>0.0199999995529652</v>
      </c>
      <c r="H492" s="4">
        <v>0.270000010728836</v>
      </c>
      <c r="I492" s="4">
        <v>5.94999980926514</v>
      </c>
      <c r="J492" s="4">
        <v>0.0</v>
      </c>
      <c r="K492" s="4">
        <v>1.0</v>
      </c>
      <c r="L492" s="4">
        <v>11.0</v>
      </c>
      <c r="M492" s="4">
        <v>367.0</v>
      </c>
      <c r="N492" s="4">
        <v>985.0</v>
      </c>
      <c r="O492" s="4">
        <v>2185.0</v>
      </c>
    </row>
    <row r="493">
      <c r="A493" s="4">
        <v>4.558609924E9</v>
      </c>
      <c r="B493" s="5">
        <v>42489.0</v>
      </c>
      <c r="C493" s="4">
        <v>7833.0</v>
      </c>
      <c r="D493" s="4">
        <v>5.17999982833862</v>
      </c>
      <c r="E493" s="4">
        <v>5.17999982833862</v>
      </c>
      <c r="F493" s="4">
        <v>0.0</v>
      </c>
      <c r="G493" s="4">
        <v>1.01999998092651</v>
      </c>
      <c r="H493" s="4">
        <v>1.85000002384186</v>
      </c>
      <c r="I493" s="4">
        <v>2.30999994277954</v>
      </c>
      <c r="J493" s="4">
        <v>0.0</v>
      </c>
      <c r="K493" s="4">
        <v>15.0</v>
      </c>
      <c r="L493" s="4">
        <v>29.0</v>
      </c>
      <c r="M493" s="4">
        <v>197.0</v>
      </c>
      <c r="N493" s="4">
        <v>1096.0</v>
      </c>
      <c r="O493" s="4">
        <v>1918.0</v>
      </c>
    </row>
    <row r="494">
      <c r="A494" s="4">
        <v>4.558609924E9</v>
      </c>
      <c r="B494" s="5">
        <v>42490.0</v>
      </c>
      <c r="C494" s="4">
        <v>10319.0</v>
      </c>
      <c r="D494" s="4">
        <v>6.82000017166138</v>
      </c>
      <c r="E494" s="4">
        <v>6.82000017166138</v>
      </c>
      <c r="F494" s="4">
        <v>0.0</v>
      </c>
      <c r="G494" s="4">
        <v>0.469999998807907</v>
      </c>
      <c r="H494" s="4">
        <v>1.88999998569489</v>
      </c>
      <c r="I494" s="4">
        <v>4.46000003814697</v>
      </c>
      <c r="J494" s="4">
        <v>0.0</v>
      </c>
      <c r="K494" s="4">
        <v>7.0</v>
      </c>
      <c r="L494" s="4">
        <v>29.0</v>
      </c>
      <c r="M494" s="4">
        <v>293.0</v>
      </c>
      <c r="N494" s="4">
        <v>1111.0</v>
      </c>
      <c r="O494" s="4">
        <v>2105.0</v>
      </c>
    </row>
    <row r="495">
      <c r="A495" s="4">
        <v>4.558609924E9</v>
      </c>
      <c r="B495" s="5">
        <v>42491.0</v>
      </c>
      <c r="C495" s="4">
        <v>3428.0</v>
      </c>
      <c r="D495" s="4">
        <v>2.26999998092651</v>
      </c>
      <c r="E495" s="4">
        <v>2.26999998092651</v>
      </c>
      <c r="F495" s="4">
        <v>0.0</v>
      </c>
      <c r="G495" s="4">
        <v>0.0</v>
      </c>
      <c r="H495" s="4">
        <v>0.0</v>
      </c>
      <c r="I495" s="4">
        <v>2.26999998092651</v>
      </c>
      <c r="J495" s="4">
        <v>0.0</v>
      </c>
      <c r="K495" s="4">
        <v>0.0</v>
      </c>
      <c r="L495" s="4">
        <v>0.0</v>
      </c>
      <c r="M495" s="4">
        <v>190.0</v>
      </c>
      <c r="N495" s="4">
        <v>1121.0</v>
      </c>
      <c r="O495" s="4">
        <v>1692.0</v>
      </c>
    </row>
    <row r="496">
      <c r="A496" s="4">
        <v>4.558609924E9</v>
      </c>
      <c r="B496" s="5">
        <v>42492.0</v>
      </c>
      <c r="C496" s="4">
        <v>7891.0</v>
      </c>
      <c r="D496" s="4">
        <v>5.21999979019165</v>
      </c>
      <c r="E496" s="4">
        <v>5.21999979019165</v>
      </c>
      <c r="F496" s="4">
        <v>0.0</v>
      </c>
      <c r="G496" s="4">
        <v>0.0</v>
      </c>
      <c r="H496" s="4">
        <v>0.0</v>
      </c>
      <c r="I496" s="4">
        <v>5.21999979019165</v>
      </c>
      <c r="J496" s="4">
        <v>0.0</v>
      </c>
      <c r="K496" s="4">
        <v>0.0</v>
      </c>
      <c r="L496" s="4">
        <v>0.0</v>
      </c>
      <c r="M496" s="4">
        <v>383.0</v>
      </c>
      <c r="N496" s="4">
        <v>1057.0</v>
      </c>
      <c r="O496" s="4">
        <v>2066.0</v>
      </c>
    </row>
    <row r="497">
      <c r="A497" s="4">
        <v>4.558609924E9</v>
      </c>
      <c r="B497" s="5">
        <v>42493.0</v>
      </c>
      <c r="C497" s="4">
        <v>5267.0</v>
      </c>
      <c r="D497" s="4">
        <v>3.48000001907349</v>
      </c>
      <c r="E497" s="4">
        <v>3.48000001907349</v>
      </c>
      <c r="F497" s="4">
        <v>0.0</v>
      </c>
      <c r="G497" s="4">
        <v>0.600000023841858</v>
      </c>
      <c r="H497" s="4">
        <v>0.280000001192093</v>
      </c>
      <c r="I497" s="4">
        <v>2.59999990463257</v>
      </c>
      <c r="J497" s="4">
        <v>0.0</v>
      </c>
      <c r="K497" s="4">
        <v>21.0</v>
      </c>
      <c r="L497" s="4">
        <v>10.0</v>
      </c>
      <c r="M497" s="4">
        <v>237.0</v>
      </c>
      <c r="N497" s="4">
        <v>1172.0</v>
      </c>
      <c r="O497" s="4">
        <v>1953.0</v>
      </c>
    </row>
    <row r="498">
      <c r="A498" s="4">
        <v>4.558609924E9</v>
      </c>
      <c r="B498" s="5">
        <v>42494.0</v>
      </c>
      <c r="C498" s="4">
        <v>5232.0</v>
      </c>
      <c r="D498" s="4">
        <v>3.46000003814697</v>
      </c>
      <c r="E498" s="4">
        <v>3.46000003814697</v>
      </c>
      <c r="F498" s="4">
        <v>0.0</v>
      </c>
      <c r="G498" s="4">
        <v>0.0</v>
      </c>
      <c r="H498" s="4">
        <v>0.0</v>
      </c>
      <c r="I498" s="4">
        <v>3.46000003814697</v>
      </c>
      <c r="J498" s="4">
        <v>0.0</v>
      </c>
      <c r="K498" s="4">
        <v>0.0</v>
      </c>
      <c r="L498" s="4">
        <v>0.0</v>
      </c>
      <c r="M498" s="4">
        <v>252.0</v>
      </c>
      <c r="N498" s="4">
        <v>1188.0</v>
      </c>
      <c r="O498" s="4">
        <v>1842.0</v>
      </c>
    </row>
    <row r="499">
      <c r="A499" s="4">
        <v>4.558609924E9</v>
      </c>
      <c r="B499" s="5">
        <v>42495.0</v>
      </c>
      <c r="C499" s="4">
        <v>10611.0</v>
      </c>
      <c r="D499" s="4">
        <v>7.01000022888184</v>
      </c>
      <c r="E499" s="4">
        <v>7.01000022888184</v>
      </c>
      <c r="F499" s="4">
        <v>0.0</v>
      </c>
      <c r="G499" s="4">
        <v>1.00999999046326</v>
      </c>
      <c r="H499" s="4">
        <v>0.5</v>
      </c>
      <c r="I499" s="4">
        <v>5.51000022888184</v>
      </c>
      <c r="J499" s="4">
        <v>0.0</v>
      </c>
      <c r="K499" s="4">
        <v>14.0</v>
      </c>
      <c r="L499" s="4">
        <v>8.0</v>
      </c>
      <c r="M499" s="4">
        <v>370.0</v>
      </c>
      <c r="N499" s="4">
        <v>1048.0</v>
      </c>
      <c r="O499" s="4">
        <v>2262.0</v>
      </c>
    </row>
    <row r="500">
      <c r="A500" s="4">
        <v>4.558609924E9</v>
      </c>
      <c r="B500" s="5">
        <v>42496.0</v>
      </c>
      <c r="C500" s="4">
        <v>3755.0</v>
      </c>
      <c r="D500" s="4">
        <v>2.48000001907349</v>
      </c>
      <c r="E500" s="4">
        <v>2.48000001907349</v>
      </c>
      <c r="F500" s="4">
        <v>0.0</v>
      </c>
      <c r="G500" s="4">
        <v>0.0</v>
      </c>
      <c r="H500" s="4">
        <v>0.0</v>
      </c>
      <c r="I500" s="4">
        <v>2.48000001907349</v>
      </c>
      <c r="J500" s="4">
        <v>0.0</v>
      </c>
      <c r="K500" s="4">
        <v>0.0</v>
      </c>
      <c r="L500" s="4">
        <v>0.0</v>
      </c>
      <c r="M500" s="4">
        <v>202.0</v>
      </c>
      <c r="N500" s="4">
        <v>1238.0</v>
      </c>
      <c r="O500" s="4">
        <v>1722.0</v>
      </c>
    </row>
    <row r="501">
      <c r="A501" s="4">
        <v>4.558609924E9</v>
      </c>
      <c r="B501" s="5">
        <v>42497.0</v>
      </c>
      <c r="C501" s="4">
        <v>8237.0</v>
      </c>
      <c r="D501" s="4">
        <v>5.44000005722046</v>
      </c>
      <c r="E501" s="4">
        <v>5.44000005722046</v>
      </c>
      <c r="F501" s="4">
        <v>0.0</v>
      </c>
      <c r="G501" s="4">
        <v>1.61000001430511</v>
      </c>
      <c r="H501" s="4">
        <v>1.0</v>
      </c>
      <c r="I501" s="4">
        <v>2.82999992370605</v>
      </c>
      <c r="J501" s="4">
        <v>0.0</v>
      </c>
      <c r="K501" s="4">
        <v>23.0</v>
      </c>
      <c r="L501" s="4">
        <v>16.0</v>
      </c>
      <c r="M501" s="4">
        <v>233.0</v>
      </c>
      <c r="N501" s="4">
        <v>1116.0</v>
      </c>
      <c r="O501" s="4">
        <v>1973.0</v>
      </c>
    </row>
    <row r="502">
      <c r="A502" s="4">
        <v>4.558609924E9</v>
      </c>
      <c r="B502" s="5">
        <v>42498.0</v>
      </c>
      <c r="C502" s="4">
        <v>6543.0</v>
      </c>
      <c r="D502" s="4">
        <v>4.32999992370605</v>
      </c>
      <c r="E502" s="4">
        <v>4.32999992370605</v>
      </c>
      <c r="F502" s="4">
        <v>0.0</v>
      </c>
      <c r="G502" s="4">
        <v>1.79999995231628</v>
      </c>
      <c r="H502" s="4">
        <v>0.5</v>
      </c>
      <c r="I502" s="4">
        <v>2.01999998092651</v>
      </c>
      <c r="J502" s="4">
        <v>0.0</v>
      </c>
      <c r="K502" s="4">
        <v>66.0</v>
      </c>
      <c r="L502" s="4">
        <v>35.0</v>
      </c>
      <c r="M502" s="4">
        <v>238.0</v>
      </c>
      <c r="N502" s="4">
        <v>1019.0</v>
      </c>
      <c r="O502" s="4">
        <v>2666.0</v>
      </c>
    </row>
    <row r="503">
      <c r="A503" s="4">
        <v>4.558609924E9</v>
      </c>
      <c r="B503" s="5">
        <v>42499.0</v>
      </c>
      <c r="C503" s="4">
        <v>11451.0</v>
      </c>
      <c r="D503" s="4">
        <v>7.57000017166138</v>
      </c>
      <c r="E503" s="4">
        <v>7.57000017166138</v>
      </c>
      <c r="F503" s="4">
        <v>0.0</v>
      </c>
      <c r="G503" s="4">
        <v>0.430000007152557</v>
      </c>
      <c r="H503" s="4">
        <v>1.62000000476837</v>
      </c>
      <c r="I503" s="4">
        <v>5.51999998092651</v>
      </c>
      <c r="J503" s="4">
        <v>0.0</v>
      </c>
      <c r="K503" s="4">
        <v>6.0</v>
      </c>
      <c r="L503" s="4">
        <v>30.0</v>
      </c>
      <c r="M503" s="4">
        <v>339.0</v>
      </c>
      <c r="N503" s="4">
        <v>1065.0</v>
      </c>
      <c r="O503" s="4">
        <v>2223.0</v>
      </c>
    </row>
    <row r="504">
      <c r="A504" s="4">
        <v>4.558609924E9</v>
      </c>
      <c r="B504" s="5">
        <v>42500.0</v>
      </c>
      <c r="C504" s="4">
        <v>6435.0</v>
      </c>
      <c r="D504" s="4">
        <v>4.25</v>
      </c>
      <c r="E504" s="4">
        <v>4.25</v>
      </c>
      <c r="F504" s="4">
        <v>0.0</v>
      </c>
      <c r="G504" s="4">
        <v>0.740000009536743</v>
      </c>
      <c r="H504" s="4">
        <v>1.12000000476837</v>
      </c>
      <c r="I504" s="4">
        <v>2.39000010490417</v>
      </c>
      <c r="J504" s="4">
        <v>0.0</v>
      </c>
      <c r="K504" s="4">
        <v>11.0</v>
      </c>
      <c r="L504" s="4">
        <v>18.0</v>
      </c>
      <c r="M504" s="4">
        <v>220.0</v>
      </c>
      <c r="N504" s="4">
        <v>1191.0</v>
      </c>
      <c r="O504" s="4">
        <v>1889.0</v>
      </c>
    </row>
    <row r="505">
      <c r="A505" s="4">
        <v>4.558609924E9</v>
      </c>
      <c r="B505" s="5">
        <v>42501.0</v>
      </c>
      <c r="C505" s="4">
        <v>9108.0</v>
      </c>
      <c r="D505" s="4">
        <v>6.01999998092651</v>
      </c>
      <c r="E505" s="4">
        <v>6.01999998092651</v>
      </c>
      <c r="F505" s="4">
        <v>0.0</v>
      </c>
      <c r="G505" s="4">
        <v>0.259999990463257</v>
      </c>
      <c r="H505" s="4">
        <v>1.82000005245209</v>
      </c>
      <c r="I505" s="4">
        <v>3.94000005722046</v>
      </c>
      <c r="J505" s="4">
        <v>0.0</v>
      </c>
      <c r="K505" s="4">
        <v>4.0</v>
      </c>
      <c r="L505" s="4">
        <v>31.0</v>
      </c>
      <c r="M505" s="4">
        <v>324.0</v>
      </c>
      <c r="N505" s="4">
        <v>1081.0</v>
      </c>
      <c r="O505" s="4">
        <v>2131.0</v>
      </c>
    </row>
    <row r="506">
      <c r="A506" s="4">
        <v>4.558609924E9</v>
      </c>
      <c r="B506" s="5">
        <v>42502.0</v>
      </c>
      <c r="C506" s="4">
        <v>6307.0</v>
      </c>
      <c r="D506" s="4">
        <v>4.17000007629395</v>
      </c>
      <c r="E506" s="4">
        <v>4.17000007629395</v>
      </c>
      <c r="F506" s="4">
        <v>0.0</v>
      </c>
      <c r="G506" s="4">
        <v>0.0</v>
      </c>
      <c r="H506" s="4">
        <v>0.0</v>
      </c>
      <c r="I506" s="4">
        <v>4.17000007629395</v>
      </c>
      <c r="J506" s="4">
        <v>0.0</v>
      </c>
      <c r="K506" s="4">
        <v>0.0</v>
      </c>
      <c r="L506" s="4">
        <v>0.0</v>
      </c>
      <c r="M506" s="4">
        <v>247.0</v>
      </c>
      <c r="N506" s="4">
        <v>736.0</v>
      </c>
      <c r="O506" s="4">
        <v>1452.0</v>
      </c>
    </row>
    <row r="507">
      <c r="A507" s="4">
        <v>4.702921684E9</v>
      </c>
      <c r="B507" s="5">
        <v>42472.0</v>
      </c>
      <c r="C507" s="4">
        <v>7213.0</v>
      </c>
      <c r="D507" s="4">
        <v>5.88000011444092</v>
      </c>
      <c r="E507" s="4">
        <v>5.88000011444092</v>
      </c>
      <c r="F507" s="4">
        <v>0.0</v>
      </c>
      <c r="G507" s="4">
        <v>0.0</v>
      </c>
      <c r="H507" s="4">
        <v>0.0</v>
      </c>
      <c r="I507" s="4">
        <v>5.84999990463257</v>
      </c>
      <c r="J507" s="4">
        <v>0.0</v>
      </c>
      <c r="K507" s="4">
        <v>0.0</v>
      </c>
      <c r="L507" s="4">
        <v>0.0</v>
      </c>
      <c r="M507" s="4">
        <v>263.0</v>
      </c>
      <c r="N507" s="4">
        <v>718.0</v>
      </c>
      <c r="O507" s="4">
        <v>2947.0</v>
      </c>
    </row>
    <row r="508">
      <c r="A508" s="4">
        <v>4.702921684E9</v>
      </c>
      <c r="B508" s="5">
        <v>42473.0</v>
      </c>
      <c r="C508" s="4">
        <v>6877.0</v>
      </c>
      <c r="D508" s="4">
        <v>5.57999992370605</v>
      </c>
      <c r="E508" s="4">
        <v>5.57999992370605</v>
      </c>
      <c r="F508" s="4">
        <v>0.0</v>
      </c>
      <c r="G508" s="4">
        <v>0.0</v>
      </c>
      <c r="H508" s="4">
        <v>0.0</v>
      </c>
      <c r="I508" s="4">
        <v>5.57999992370605</v>
      </c>
      <c r="J508" s="4">
        <v>0.0</v>
      </c>
      <c r="K508" s="4">
        <v>0.0</v>
      </c>
      <c r="L508" s="4">
        <v>0.0</v>
      </c>
      <c r="M508" s="4">
        <v>258.0</v>
      </c>
      <c r="N508" s="4">
        <v>777.0</v>
      </c>
      <c r="O508" s="4">
        <v>2898.0</v>
      </c>
    </row>
    <row r="509">
      <c r="A509" s="4">
        <v>4.702921684E9</v>
      </c>
      <c r="B509" s="5">
        <v>42474.0</v>
      </c>
      <c r="C509" s="4">
        <v>7860.0</v>
      </c>
      <c r="D509" s="4">
        <v>6.36999988555908</v>
      </c>
      <c r="E509" s="4">
        <v>6.36999988555908</v>
      </c>
      <c r="F509" s="4">
        <v>0.0</v>
      </c>
      <c r="G509" s="4">
        <v>0.0</v>
      </c>
      <c r="H509" s="4">
        <v>0.0</v>
      </c>
      <c r="I509" s="4">
        <v>6.36999988555908</v>
      </c>
      <c r="J509" s="4">
        <v>0.0</v>
      </c>
      <c r="K509" s="4">
        <v>0.0</v>
      </c>
      <c r="L509" s="4">
        <v>0.0</v>
      </c>
      <c r="M509" s="4">
        <v>271.0</v>
      </c>
      <c r="N509" s="4">
        <v>772.0</v>
      </c>
      <c r="O509" s="4">
        <v>2984.0</v>
      </c>
    </row>
    <row r="510">
      <c r="A510" s="4">
        <v>4.702921684E9</v>
      </c>
      <c r="B510" s="5">
        <v>42475.0</v>
      </c>
      <c r="C510" s="4">
        <v>6506.0</v>
      </c>
      <c r="D510" s="4">
        <v>5.28000020980835</v>
      </c>
      <c r="E510" s="4">
        <v>5.28000020980835</v>
      </c>
      <c r="F510" s="4">
        <v>0.0</v>
      </c>
      <c r="G510" s="4">
        <v>0.0700000002980232</v>
      </c>
      <c r="H510" s="4">
        <v>0.419999986886978</v>
      </c>
      <c r="I510" s="4">
        <v>4.78999996185303</v>
      </c>
      <c r="J510" s="4">
        <v>0.0</v>
      </c>
      <c r="K510" s="4">
        <v>1.0</v>
      </c>
      <c r="L510" s="4">
        <v>8.0</v>
      </c>
      <c r="M510" s="4">
        <v>256.0</v>
      </c>
      <c r="N510" s="4">
        <v>944.0</v>
      </c>
      <c r="O510" s="4">
        <v>2896.0</v>
      </c>
    </row>
    <row r="511">
      <c r="A511" s="4">
        <v>4.702921684E9</v>
      </c>
      <c r="B511" s="5">
        <v>42476.0</v>
      </c>
      <c r="C511" s="4">
        <v>11140.0</v>
      </c>
      <c r="D511" s="4">
        <v>9.02999973297119</v>
      </c>
      <c r="E511" s="4">
        <v>9.02999973297119</v>
      </c>
      <c r="F511" s="4">
        <v>0.0</v>
      </c>
      <c r="G511" s="4">
        <v>0.239999994635582</v>
      </c>
      <c r="H511" s="4">
        <v>1.25</v>
      </c>
      <c r="I511" s="4">
        <v>7.53999996185303</v>
      </c>
      <c r="J511" s="4">
        <v>0.0</v>
      </c>
      <c r="K511" s="4">
        <v>3.0</v>
      </c>
      <c r="L511" s="4">
        <v>24.0</v>
      </c>
      <c r="M511" s="4">
        <v>335.0</v>
      </c>
      <c r="N511" s="4">
        <v>556.0</v>
      </c>
      <c r="O511" s="4">
        <v>3328.0</v>
      </c>
    </row>
    <row r="512">
      <c r="A512" s="4">
        <v>4.702921684E9</v>
      </c>
      <c r="B512" s="5">
        <v>42477.0</v>
      </c>
      <c r="C512" s="4">
        <v>12692.0</v>
      </c>
      <c r="D512" s="4">
        <v>10.289999961853</v>
      </c>
      <c r="E512" s="4">
        <v>10.289999961853</v>
      </c>
      <c r="F512" s="4">
        <v>0.0</v>
      </c>
      <c r="G512" s="4">
        <v>0.959999978542328</v>
      </c>
      <c r="H512" s="4">
        <v>3.46000003814697</v>
      </c>
      <c r="I512" s="4">
        <v>5.88000011444092</v>
      </c>
      <c r="J512" s="4">
        <v>0.0</v>
      </c>
      <c r="K512" s="4">
        <v>12.0</v>
      </c>
      <c r="L512" s="4">
        <v>66.0</v>
      </c>
      <c r="M512" s="4">
        <v>302.0</v>
      </c>
      <c r="N512" s="4">
        <v>437.0</v>
      </c>
      <c r="O512" s="4">
        <v>3394.0</v>
      </c>
    </row>
    <row r="513">
      <c r="A513" s="4">
        <v>4.702921684E9</v>
      </c>
      <c r="B513" s="5">
        <v>42478.0</v>
      </c>
      <c r="C513" s="4">
        <v>9105.0</v>
      </c>
      <c r="D513" s="4">
        <v>7.38000011444092</v>
      </c>
      <c r="E513" s="4">
        <v>7.38000011444092</v>
      </c>
      <c r="F513" s="4">
        <v>0.0</v>
      </c>
      <c r="G513" s="4">
        <v>1.82000005245209</v>
      </c>
      <c r="H513" s="4">
        <v>1.49000000953674</v>
      </c>
      <c r="I513" s="4">
        <v>4.07000017166138</v>
      </c>
      <c r="J513" s="4">
        <v>0.0</v>
      </c>
      <c r="K513" s="4">
        <v>22.0</v>
      </c>
      <c r="L513" s="4">
        <v>30.0</v>
      </c>
      <c r="M513" s="4">
        <v>191.0</v>
      </c>
      <c r="N513" s="4">
        <v>890.0</v>
      </c>
      <c r="O513" s="4">
        <v>3013.0</v>
      </c>
    </row>
    <row r="514">
      <c r="A514" s="4">
        <v>4.702921684E9</v>
      </c>
      <c r="B514" s="5">
        <v>42479.0</v>
      </c>
      <c r="C514" s="4">
        <v>6708.0</v>
      </c>
      <c r="D514" s="4">
        <v>5.44000005722046</v>
      </c>
      <c r="E514" s="4">
        <v>5.44000005722046</v>
      </c>
      <c r="F514" s="4">
        <v>0.0</v>
      </c>
      <c r="G514" s="4">
        <v>0.879999995231628</v>
      </c>
      <c r="H514" s="4">
        <v>0.370000004768372</v>
      </c>
      <c r="I514" s="4">
        <v>4.19000005722046</v>
      </c>
      <c r="J514" s="4">
        <v>0.0</v>
      </c>
      <c r="K514" s="4">
        <v>10.0</v>
      </c>
      <c r="L514" s="4">
        <v>8.0</v>
      </c>
      <c r="M514" s="4">
        <v>179.0</v>
      </c>
      <c r="N514" s="4">
        <v>757.0</v>
      </c>
      <c r="O514" s="4">
        <v>2812.0</v>
      </c>
    </row>
    <row r="515">
      <c r="A515" s="4">
        <v>4.702921684E9</v>
      </c>
      <c r="B515" s="5">
        <v>42480.0</v>
      </c>
      <c r="C515" s="4">
        <v>8793.0</v>
      </c>
      <c r="D515" s="4">
        <v>7.13000011444092</v>
      </c>
      <c r="E515" s="4">
        <v>7.13000011444092</v>
      </c>
      <c r="F515" s="4">
        <v>0.0</v>
      </c>
      <c r="G515" s="4">
        <v>0.159999996423721</v>
      </c>
      <c r="H515" s="4">
        <v>1.23000001907349</v>
      </c>
      <c r="I515" s="4">
        <v>5.73000001907349</v>
      </c>
      <c r="J515" s="4">
        <v>0.0</v>
      </c>
      <c r="K515" s="4">
        <v>2.0</v>
      </c>
      <c r="L515" s="4">
        <v>29.0</v>
      </c>
      <c r="M515" s="4">
        <v>260.0</v>
      </c>
      <c r="N515" s="4">
        <v>717.0</v>
      </c>
      <c r="O515" s="4">
        <v>3061.0</v>
      </c>
    </row>
    <row r="516">
      <c r="A516" s="4">
        <v>4.702921684E9</v>
      </c>
      <c r="B516" s="5">
        <v>42481.0</v>
      </c>
      <c r="C516" s="4">
        <v>6530.0</v>
      </c>
      <c r="D516" s="4">
        <v>5.30000019073486</v>
      </c>
      <c r="E516" s="4">
        <v>5.30000019073486</v>
      </c>
      <c r="F516" s="4">
        <v>0.0</v>
      </c>
      <c r="G516" s="4">
        <v>0.310000002384186</v>
      </c>
      <c r="H516" s="4">
        <v>2.04999995231628</v>
      </c>
      <c r="I516" s="4">
        <v>2.94000005722046</v>
      </c>
      <c r="J516" s="4">
        <v>0.0</v>
      </c>
      <c r="K516" s="4">
        <v>4.0</v>
      </c>
      <c r="L516" s="4">
        <v>41.0</v>
      </c>
      <c r="M516" s="4">
        <v>144.0</v>
      </c>
      <c r="N516" s="4">
        <v>901.0</v>
      </c>
      <c r="O516" s="4">
        <v>2729.0</v>
      </c>
    </row>
    <row r="517">
      <c r="A517" s="4">
        <v>4.702921684E9</v>
      </c>
      <c r="B517" s="5">
        <v>42482.0</v>
      </c>
      <c r="C517" s="4">
        <v>1664.0</v>
      </c>
      <c r="D517" s="4">
        <v>1.35000002384186</v>
      </c>
      <c r="E517" s="4">
        <v>1.35000002384186</v>
      </c>
      <c r="F517" s="4">
        <v>0.0</v>
      </c>
      <c r="G517" s="4">
        <v>0.0</v>
      </c>
      <c r="H517" s="4">
        <v>0.0</v>
      </c>
      <c r="I517" s="4">
        <v>1.35000002384186</v>
      </c>
      <c r="J517" s="4">
        <v>0.0</v>
      </c>
      <c r="K517" s="4">
        <v>0.0</v>
      </c>
      <c r="L517" s="4">
        <v>0.0</v>
      </c>
      <c r="M517" s="4">
        <v>72.0</v>
      </c>
      <c r="N517" s="4">
        <v>1341.0</v>
      </c>
      <c r="O517" s="4">
        <v>2241.0</v>
      </c>
    </row>
    <row r="518">
      <c r="A518" s="4">
        <v>4.702921684E9</v>
      </c>
      <c r="B518" s="5">
        <v>42483.0</v>
      </c>
      <c r="C518" s="4">
        <v>15126.0</v>
      </c>
      <c r="D518" s="4">
        <v>12.2700004577637</v>
      </c>
      <c r="E518" s="4">
        <v>12.2700004577637</v>
      </c>
      <c r="F518" s="4">
        <v>0.0</v>
      </c>
      <c r="G518" s="4">
        <v>0.759999990463257</v>
      </c>
      <c r="H518" s="4">
        <v>3.24000000953674</v>
      </c>
      <c r="I518" s="4">
        <v>8.27000045776367</v>
      </c>
      <c r="J518" s="4">
        <v>0.0</v>
      </c>
      <c r="K518" s="4">
        <v>9.0</v>
      </c>
      <c r="L518" s="4">
        <v>66.0</v>
      </c>
      <c r="M518" s="4">
        <v>408.0</v>
      </c>
      <c r="N518" s="4">
        <v>469.0</v>
      </c>
      <c r="O518" s="4">
        <v>3691.0</v>
      </c>
    </row>
    <row r="519">
      <c r="A519" s="4">
        <v>4.702921684E9</v>
      </c>
      <c r="B519" s="5">
        <v>42484.0</v>
      </c>
      <c r="C519" s="4">
        <v>15050.0</v>
      </c>
      <c r="D519" s="4">
        <v>12.2200002670288</v>
      </c>
      <c r="E519" s="4">
        <v>12.2200002670288</v>
      </c>
      <c r="F519" s="4">
        <v>0.0</v>
      </c>
      <c r="G519" s="4">
        <v>1.20000004768372</v>
      </c>
      <c r="H519" s="4">
        <v>5.11999988555908</v>
      </c>
      <c r="I519" s="4">
        <v>5.88000011444092</v>
      </c>
      <c r="J519" s="4">
        <v>0.0</v>
      </c>
      <c r="K519" s="4">
        <v>15.0</v>
      </c>
      <c r="L519" s="4">
        <v>95.0</v>
      </c>
      <c r="M519" s="4">
        <v>281.0</v>
      </c>
      <c r="N519" s="4">
        <v>542.0</v>
      </c>
      <c r="O519" s="4">
        <v>3538.0</v>
      </c>
    </row>
    <row r="520">
      <c r="A520" s="4">
        <v>4.702921684E9</v>
      </c>
      <c r="B520" s="5">
        <v>42485.0</v>
      </c>
      <c r="C520" s="4">
        <v>9167.0</v>
      </c>
      <c r="D520" s="4">
        <v>7.42999982833862</v>
      </c>
      <c r="E520" s="4">
        <v>7.42999982833862</v>
      </c>
      <c r="F520" s="4">
        <v>0.0</v>
      </c>
      <c r="G520" s="4">
        <v>0.490000009536743</v>
      </c>
      <c r="H520" s="4">
        <v>0.819999992847443</v>
      </c>
      <c r="I520" s="4">
        <v>6.1100001335144</v>
      </c>
      <c r="J520" s="4">
        <v>0.0</v>
      </c>
      <c r="K520" s="4">
        <v>6.0</v>
      </c>
      <c r="L520" s="4">
        <v>15.0</v>
      </c>
      <c r="M520" s="4">
        <v>270.0</v>
      </c>
      <c r="N520" s="4">
        <v>730.0</v>
      </c>
      <c r="O520" s="4">
        <v>3064.0</v>
      </c>
    </row>
    <row r="521">
      <c r="A521" s="4">
        <v>4.702921684E9</v>
      </c>
      <c r="B521" s="5">
        <v>42486.0</v>
      </c>
      <c r="C521" s="4">
        <v>6108.0</v>
      </c>
      <c r="D521" s="4">
        <v>4.94999980926514</v>
      </c>
      <c r="E521" s="4">
        <v>4.94999980926514</v>
      </c>
      <c r="F521" s="4">
        <v>0.0</v>
      </c>
      <c r="G521" s="4">
        <v>0.0700000002980232</v>
      </c>
      <c r="H521" s="4">
        <v>0.349999994039536</v>
      </c>
      <c r="I521" s="4">
        <v>4.53999996185303</v>
      </c>
      <c r="J521" s="4">
        <v>0.0</v>
      </c>
      <c r="K521" s="4">
        <v>1.0</v>
      </c>
      <c r="L521" s="4">
        <v>8.0</v>
      </c>
      <c r="M521" s="4">
        <v>216.0</v>
      </c>
      <c r="N521" s="4">
        <v>765.0</v>
      </c>
      <c r="O521" s="4">
        <v>2784.0</v>
      </c>
    </row>
    <row r="522">
      <c r="A522" s="4">
        <v>4.702921684E9</v>
      </c>
      <c r="B522" s="5">
        <v>42487.0</v>
      </c>
      <c r="C522" s="4">
        <v>7047.0</v>
      </c>
      <c r="D522" s="4">
        <v>5.71999979019165</v>
      </c>
      <c r="E522" s="4">
        <v>5.71999979019165</v>
      </c>
      <c r="F522" s="4">
        <v>0.0</v>
      </c>
      <c r="G522" s="4">
        <v>0.0900000035762787</v>
      </c>
      <c r="H522" s="4">
        <v>0.800000011920929</v>
      </c>
      <c r="I522" s="4">
        <v>4.78000020980835</v>
      </c>
      <c r="J522" s="4">
        <v>0.0</v>
      </c>
      <c r="K522" s="4">
        <v>1.0</v>
      </c>
      <c r="L522" s="4">
        <v>16.0</v>
      </c>
      <c r="M522" s="4">
        <v>238.0</v>
      </c>
      <c r="N522" s="4">
        <v>733.0</v>
      </c>
      <c r="O522" s="4">
        <v>2908.0</v>
      </c>
    </row>
    <row r="523">
      <c r="A523" s="4">
        <v>4.702921684E9</v>
      </c>
      <c r="B523" s="5">
        <v>42488.0</v>
      </c>
      <c r="C523" s="4">
        <v>9023.0</v>
      </c>
      <c r="D523" s="4">
        <v>7.32000017166138</v>
      </c>
      <c r="E523" s="4">
        <v>7.32000017166138</v>
      </c>
      <c r="F523" s="4">
        <v>0.0</v>
      </c>
      <c r="G523" s="4">
        <v>1.12999999523163</v>
      </c>
      <c r="H523" s="4">
        <v>0.419999986886978</v>
      </c>
      <c r="I523" s="4">
        <v>5.76999998092651</v>
      </c>
      <c r="J523" s="4">
        <v>0.0</v>
      </c>
      <c r="K523" s="4">
        <v>14.0</v>
      </c>
      <c r="L523" s="4">
        <v>9.0</v>
      </c>
      <c r="M523" s="4">
        <v>232.0</v>
      </c>
      <c r="N523" s="4">
        <v>738.0</v>
      </c>
      <c r="O523" s="4">
        <v>3033.0</v>
      </c>
    </row>
    <row r="524">
      <c r="A524" s="4">
        <v>4.702921684E9</v>
      </c>
      <c r="B524" s="5">
        <v>42489.0</v>
      </c>
      <c r="C524" s="4">
        <v>9930.0</v>
      </c>
      <c r="D524" s="4">
        <v>8.05000019073486</v>
      </c>
      <c r="E524" s="4">
        <v>8.05000019073486</v>
      </c>
      <c r="F524" s="4">
        <v>0.0</v>
      </c>
      <c r="G524" s="4">
        <v>1.05999994277954</v>
      </c>
      <c r="H524" s="4">
        <v>0.920000016689301</v>
      </c>
      <c r="I524" s="4">
        <v>6.07000017166138</v>
      </c>
      <c r="J524" s="4">
        <v>0.0</v>
      </c>
      <c r="K524" s="4">
        <v>12.0</v>
      </c>
      <c r="L524" s="4">
        <v>19.0</v>
      </c>
      <c r="M524" s="4">
        <v>267.0</v>
      </c>
      <c r="N524" s="4">
        <v>692.0</v>
      </c>
      <c r="O524" s="4">
        <v>3165.0</v>
      </c>
    </row>
    <row r="525">
      <c r="A525" s="4">
        <v>4.702921684E9</v>
      </c>
      <c r="B525" s="5">
        <v>42490.0</v>
      </c>
      <c r="C525" s="4">
        <v>10144.0</v>
      </c>
      <c r="D525" s="4">
        <v>8.22999954223633</v>
      </c>
      <c r="E525" s="4">
        <v>8.22999954223633</v>
      </c>
      <c r="F525" s="4">
        <v>0.0</v>
      </c>
      <c r="G525" s="4">
        <v>0.319999992847443</v>
      </c>
      <c r="H525" s="4">
        <v>2.02999997138977</v>
      </c>
      <c r="I525" s="4">
        <v>5.88000011444092</v>
      </c>
      <c r="J525" s="4">
        <v>0.0</v>
      </c>
      <c r="K525" s="4">
        <v>4.0</v>
      </c>
      <c r="L525" s="4">
        <v>36.0</v>
      </c>
      <c r="M525" s="4">
        <v>263.0</v>
      </c>
      <c r="N525" s="4">
        <v>728.0</v>
      </c>
      <c r="O525" s="4">
        <v>3115.0</v>
      </c>
    </row>
    <row r="526">
      <c r="A526" s="4">
        <v>4.702921684E9</v>
      </c>
      <c r="B526" s="5">
        <v>42491.0</v>
      </c>
      <c r="C526" s="4">
        <v>0.0</v>
      </c>
      <c r="D526" s="4">
        <v>0.0</v>
      </c>
      <c r="E526" s="4">
        <v>0.0</v>
      </c>
      <c r="F526" s="4">
        <v>0.0</v>
      </c>
      <c r="G526" s="4">
        <v>0.0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1440.0</v>
      </c>
      <c r="O526" s="4">
        <v>2017.0</v>
      </c>
    </row>
    <row r="527">
      <c r="A527" s="4">
        <v>4.702921684E9</v>
      </c>
      <c r="B527" s="5">
        <v>42492.0</v>
      </c>
      <c r="C527" s="4">
        <v>7245.0</v>
      </c>
      <c r="D527" s="4">
        <v>5.92000007629395</v>
      </c>
      <c r="E527" s="4">
        <v>5.92000007629395</v>
      </c>
      <c r="F527" s="4">
        <v>0.0</v>
      </c>
      <c r="G527" s="4">
        <v>0.379999995231628</v>
      </c>
      <c r="H527" s="4">
        <v>1.74000000953674</v>
      </c>
      <c r="I527" s="4">
        <v>3.75999999046326</v>
      </c>
      <c r="J527" s="4">
        <v>0.0</v>
      </c>
      <c r="K527" s="4">
        <v>5.0</v>
      </c>
      <c r="L527" s="4">
        <v>40.0</v>
      </c>
      <c r="M527" s="4">
        <v>195.0</v>
      </c>
      <c r="N527" s="4">
        <v>1131.0</v>
      </c>
      <c r="O527" s="4">
        <v>2859.0</v>
      </c>
    </row>
    <row r="528">
      <c r="A528" s="4">
        <v>4.702921684E9</v>
      </c>
      <c r="B528" s="5">
        <v>42493.0</v>
      </c>
      <c r="C528" s="4">
        <v>9454.0</v>
      </c>
      <c r="D528" s="4">
        <v>7.67000007629395</v>
      </c>
      <c r="E528" s="4">
        <v>7.67000007629395</v>
      </c>
      <c r="F528" s="4">
        <v>0.0</v>
      </c>
      <c r="G528" s="4">
        <v>0.0</v>
      </c>
      <c r="H528" s="4">
        <v>0.0</v>
      </c>
      <c r="I528" s="4">
        <v>7.67000007629395</v>
      </c>
      <c r="J528" s="4">
        <v>0.0</v>
      </c>
      <c r="K528" s="4">
        <v>0.0</v>
      </c>
      <c r="L528" s="4">
        <v>0.0</v>
      </c>
      <c r="M528" s="4">
        <v>313.0</v>
      </c>
      <c r="N528" s="4">
        <v>729.0</v>
      </c>
      <c r="O528" s="4">
        <v>3145.0</v>
      </c>
    </row>
    <row r="529">
      <c r="A529" s="4">
        <v>4.702921684E9</v>
      </c>
      <c r="B529" s="5">
        <v>42494.0</v>
      </c>
      <c r="C529" s="4">
        <v>8161.0</v>
      </c>
      <c r="D529" s="4">
        <v>6.61999988555908</v>
      </c>
      <c r="E529" s="4">
        <v>6.61999988555908</v>
      </c>
      <c r="F529" s="4">
        <v>0.0</v>
      </c>
      <c r="G529" s="4">
        <v>0.340000003576279</v>
      </c>
      <c r="H529" s="4">
        <v>0.730000019073486</v>
      </c>
      <c r="I529" s="4">
        <v>5.53999996185303</v>
      </c>
      <c r="J529" s="4">
        <v>0.0</v>
      </c>
      <c r="K529" s="4">
        <v>4.0</v>
      </c>
      <c r="L529" s="4">
        <v>15.0</v>
      </c>
      <c r="M529" s="4">
        <v>251.0</v>
      </c>
      <c r="N529" s="4">
        <v>757.0</v>
      </c>
      <c r="O529" s="4">
        <v>3004.0</v>
      </c>
    </row>
    <row r="530">
      <c r="A530" s="4">
        <v>4.702921684E9</v>
      </c>
      <c r="B530" s="5">
        <v>42495.0</v>
      </c>
      <c r="C530" s="4">
        <v>8614.0</v>
      </c>
      <c r="D530" s="4">
        <v>6.98999977111816</v>
      </c>
      <c r="E530" s="4">
        <v>6.98999977111816</v>
      </c>
      <c r="F530" s="4">
        <v>0.0</v>
      </c>
      <c r="G530" s="4">
        <v>0.670000016689301</v>
      </c>
      <c r="H530" s="4">
        <v>0.219999998807907</v>
      </c>
      <c r="I530" s="4">
        <v>6.09000015258789</v>
      </c>
      <c r="J530" s="4">
        <v>0.0</v>
      </c>
      <c r="K530" s="4">
        <v>8.0</v>
      </c>
      <c r="L530" s="4">
        <v>5.0</v>
      </c>
      <c r="M530" s="4">
        <v>241.0</v>
      </c>
      <c r="N530" s="4">
        <v>745.0</v>
      </c>
      <c r="O530" s="4">
        <v>3006.0</v>
      </c>
    </row>
    <row r="531">
      <c r="A531" s="4">
        <v>4.702921684E9</v>
      </c>
      <c r="B531" s="5">
        <v>42496.0</v>
      </c>
      <c r="C531" s="4">
        <v>6943.0</v>
      </c>
      <c r="D531" s="4">
        <v>5.63000011444092</v>
      </c>
      <c r="E531" s="4">
        <v>5.63000011444092</v>
      </c>
      <c r="F531" s="4">
        <v>0.0</v>
      </c>
      <c r="G531" s="4">
        <v>0.0799999982118607</v>
      </c>
      <c r="H531" s="4">
        <v>0.660000026226044</v>
      </c>
      <c r="I531" s="4">
        <v>4.86999988555908</v>
      </c>
      <c r="J531" s="4">
        <v>0.0</v>
      </c>
      <c r="K531" s="4">
        <v>1.0</v>
      </c>
      <c r="L531" s="4">
        <v>16.0</v>
      </c>
      <c r="M531" s="4">
        <v>207.0</v>
      </c>
      <c r="N531" s="4">
        <v>682.0</v>
      </c>
      <c r="O531" s="4">
        <v>2859.0</v>
      </c>
    </row>
    <row r="532">
      <c r="A532" s="4">
        <v>4.702921684E9</v>
      </c>
      <c r="B532" s="5">
        <v>42497.0</v>
      </c>
      <c r="C532" s="4">
        <v>14370.0</v>
      </c>
      <c r="D532" s="4">
        <v>11.6499996185303</v>
      </c>
      <c r="E532" s="4">
        <v>11.6499996185303</v>
      </c>
      <c r="F532" s="4">
        <v>0.0</v>
      </c>
      <c r="G532" s="4">
        <v>0.370000004768372</v>
      </c>
      <c r="H532" s="4">
        <v>2.30999994277954</v>
      </c>
      <c r="I532" s="4">
        <v>8.97000026702881</v>
      </c>
      <c r="J532" s="4">
        <v>0.0</v>
      </c>
      <c r="K532" s="4">
        <v>5.0</v>
      </c>
      <c r="L532" s="4">
        <v>46.0</v>
      </c>
      <c r="M532" s="4">
        <v>439.0</v>
      </c>
      <c r="N532" s="4">
        <v>577.0</v>
      </c>
      <c r="O532" s="4">
        <v>3683.0</v>
      </c>
    </row>
    <row r="533">
      <c r="A533" s="4">
        <v>4.702921684E9</v>
      </c>
      <c r="B533" s="5">
        <v>42498.0</v>
      </c>
      <c r="C533" s="4">
        <v>12857.0</v>
      </c>
      <c r="D533" s="4">
        <v>10.4300003051758</v>
      </c>
      <c r="E533" s="4">
        <v>10.4300003051758</v>
      </c>
      <c r="F533" s="4">
        <v>0.0</v>
      </c>
      <c r="G533" s="4">
        <v>0.680000007152557</v>
      </c>
      <c r="H533" s="4">
        <v>6.21000003814697</v>
      </c>
      <c r="I533" s="4">
        <v>3.53999996185303</v>
      </c>
      <c r="J533" s="4">
        <v>0.0</v>
      </c>
      <c r="K533" s="4">
        <v>9.0</v>
      </c>
      <c r="L533" s="4">
        <v>125.0</v>
      </c>
      <c r="M533" s="4">
        <v>192.0</v>
      </c>
      <c r="N533" s="4">
        <v>1019.0</v>
      </c>
      <c r="O533" s="4">
        <v>3287.0</v>
      </c>
    </row>
    <row r="534">
      <c r="A534" s="4">
        <v>4.702921684E9</v>
      </c>
      <c r="B534" s="5">
        <v>42499.0</v>
      </c>
      <c r="C534" s="4">
        <v>8232.0</v>
      </c>
      <c r="D534" s="4">
        <v>6.67999982833862</v>
      </c>
      <c r="E534" s="4">
        <v>6.67999982833862</v>
      </c>
      <c r="F534" s="4">
        <v>0.0</v>
      </c>
      <c r="G534" s="4">
        <v>0.0</v>
      </c>
      <c r="H534" s="4">
        <v>0.569999992847443</v>
      </c>
      <c r="I534" s="4">
        <v>6.09999990463257</v>
      </c>
      <c r="J534" s="4">
        <v>0.0</v>
      </c>
      <c r="K534" s="4">
        <v>0.0</v>
      </c>
      <c r="L534" s="4">
        <v>12.0</v>
      </c>
      <c r="M534" s="4">
        <v>253.0</v>
      </c>
      <c r="N534" s="4">
        <v>746.0</v>
      </c>
      <c r="O534" s="4">
        <v>2990.0</v>
      </c>
    </row>
    <row r="535">
      <c r="A535" s="4">
        <v>4.702921684E9</v>
      </c>
      <c r="B535" s="5">
        <v>42500.0</v>
      </c>
      <c r="C535" s="4">
        <v>10613.0</v>
      </c>
      <c r="D535" s="4">
        <v>8.60999965667725</v>
      </c>
      <c r="E535" s="4">
        <v>8.60999965667725</v>
      </c>
      <c r="F535" s="4">
        <v>0.0</v>
      </c>
      <c r="G535" s="4">
        <v>0.0799999982118607</v>
      </c>
      <c r="H535" s="4">
        <v>1.87999999523163</v>
      </c>
      <c r="I535" s="4">
        <v>6.65000009536743</v>
      </c>
      <c r="J535" s="4">
        <v>0.0</v>
      </c>
      <c r="K535" s="4">
        <v>1.0</v>
      </c>
      <c r="L535" s="4">
        <v>37.0</v>
      </c>
      <c r="M535" s="4">
        <v>262.0</v>
      </c>
      <c r="N535" s="4">
        <v>701.0</v>
      </c>
      <c r="O535" s="4">
        <v>3172.0</v>
      </c>
    </row>
    <row r="536">
      <c r="A536" s="4">
        <v>4.702921684E9</v>
      </c>
      <c r="B536" s="5">
        <v>42501.0</v>
      </c>
      <c r="C536" s="4">
        <v>9810.0</v>
      </c>
      <c r="D536" s="4">
        <v>7.96000003814697</v>
      </c>
      <c r="E536" s="4">
        <v>7.96000003814697</v>
      </c>
      <c r="F536" s="4">
        <v>0.0</v>
      </c>
      <c r="G536" s="4">
        <v>0.779999971389771</v>
      </c>
      <c r="H536" s="4">
        <v>2.16000008583069</v>
      </c>
      <c r="I536" s="4">
        <v>4.98000001907349</v>
      </c>
      <c r="J536" s="4">
        <v>0.0</v>
      </c>
      <c r="K536" s="4">
        <v>10.0</v>
      </c>
      <c r="L536" s="4">
        <v>41.0</v>
      </c>
      <c r="M536" s="4">
        <v>235.0</v>
      </c>
      <c r="N536" s="4">
        <v>784.0</v>
      </c>
      <c r="O536" s="4">
        <v>3069.0</v>
      </c>
    </row>
    <row r="537">
      <c r="A537" s="4">
        <v>4.702921684E9</v>
      </c>
      <c r="B537" s="5">
        <v>42502.0</v>
      </c>
      <c r="C537" s="4">
        <v>2752.0</v>
      </c>
      <c r="D537" s="4">
        <v>2.23000001907349</v>
      </c>
      <c r="E537" s="4">
        <v>2.23000001907349</v>
      </c>
      <c r="F537" s="4">
        <v>0.0</v>
      </c>
      <c r="G537" s="4">
        <v>0.0</v>
      </c>
      <c r="H537" s="4">
        <v>0.0</v>
      </c>
      <c r="I537" s="4">
        <v>2.23000001907349</v>
      </c>
      <c r="J537" s="4">
        <v>0.0</v>
      </c>
      <c r="K537" s="4">
        <v>0.0</v>
      </c>
      <c r="L537" s="4">
        <v>0.0</v>
      </c>
      <c r="M537" s="4">
        <v>68.0</v>
      </c>
      <c r="N537" s="4">
        <v>241.0</v>
      </c>
      <c r="O537" s="4">
        <v>1240.0</v>
      </c>
    </row>
    <row r="538">
      <c r="A538" s="4">
        <v>5.553957443E9</v>
      </c>
      <c r="B538" s="5">
        <v>42472.0</v>
      </c>
      <c r="C538" s="4">
        <v>11596.0</v>
      </c>
      <c r="D538" s="4">
        <v>7.57000017166138</v>
      </c>
      <c r="E538" s="4">
        <v>7.57000017166138</v>
      </c>
      <c r="F538" s="4">
        <v>0.0</v>
      </c>
      <c r="G538" s="4">
        <v>1.37000000476837</v>
      </c>
      <c r="H538" s="4">
        <v>0.790000021457672</v>
      </c>
      <c r="I538" s="4">
        <v>5.40999984741211</v>
      </c>
      <c r="J538" s="4">
        <v>0.0</v>
      </c>
      <c r="K538" s="4">
        <v>19.0</v>
      </c>
      <c r="L538" s="4">
        <v>13.0</v>
      </c>
      <c r="M538" s="4">
        <v>277.0</v>
      </c>
      <c r="N538" s="4">
        <v>767.0</v>
      </c>
      <c r="O538" s="4">
        <v>2026.0</v>
      </c>
    </row>
    <row r="539">
      <c r="A539" s="4">
        <v>5.553957443E9</v>
      </c>
      <c r="B539" s="5">
        <v>42473.0</v>
      </c>
      <c r="C539" s="4">
        <v>4832.0</v>
      </c>
      <c r="D539" s="4">
        <v>3.16000008583069</v>
      </c>
      <c r="E539" s="4">
        <v>3.16000008583069</v>
      </c>
      <c r="F539" s="4">
        <v>0.0</v>
      </c>
      <c r="G539" s="4">
        <v>0.0</v>
      </c>
      <c r="H539" s="4">
        <v>0.0</v>
      </c>
      <c r="I539" s="4">
        <v>3.16000008583069</v>
      </c>
      <c r="J539" s="4">
        <v>0.0</v>
      </c>
      <c r="K539" s="4">
        <v>0.0</v>
      </c>
      <c r="L539" s="4">
        <v>0.0</v>
      </c>
      <c r="M539" s="4">
        <v>226.0</v>
      </c>
      <c r="N539" s="4">
        <v>647.0</v>
      </c>
      <c r="O539" s="4">
        <v>1718.0</v>
      </c>
    </row>
    <row r="540">
      <c r="A540" s="4">
        <v>5.553957443E9</v>
      </c>
      <c r="B540" s="5">
        <v>42474.0</v>
      </c>
      <c r="C540" s="4">
        <v>17022.0</v>
      </c>
      <c r="D540" s="4">
        <v>11.1199998855591</v>
      </c>
      <c r="E540" s="4">
        <v>11.1199998855591</v>
      </c>
      <c r="F540" s="4">
        <v>0.0</v>
      </c>
      <c r="G540" s="4">
        <v>4.0</v>
      </c>
      <c r="H540" s="4">
        <v>2.45000004768372</v>
      </c>
      <c r="I540" s="4">
        <v>4.67000007629395</v>
      </c>
      <c r="J540" s="4">
        <v>0.0</v>
      </c>
      <c r="K540" s="4">
        <v>61.0</v>
      </c>
      <c r="L540" s="4">
        <v>41.0</v>
      </c>
      <c r="M540" s="4">
        <v>256.0</v>
      </c>
      <c r="N540" s="4">
        <v>693.0</v>
      </c>
      <c r="O540" s="4">
        <v>2324.0</v>
      </c>
    </row>
    <row r="541">
      <c r="A541" s="4">
        <v>5.553957443E9</v>
      </c>
      <c r="B541" s="5">
        <v>42475.0</v>
      </c>
      <c r="C541" s="4">
        <v>16556.0</v>
      </c>
      <c r="D541" s="4">
        <v>10.8599996566772</v>
      </c>
      <c r="E541" s="4">
        <v>10.8599996566772</v>
      </c>
      <c r="F541" s="4">
        <v>0.0</v>
      </c>
      <c r="G541" s="4">
        <v>4.15999984741211</v>
      </c>
      <c r="H541" s="4">
        <v>1.98000001907349</v>
      </c>
      <c r="I541" s="4">
        <v>4.71000003814697</v>
      </c>
      <c r="J541" s="4">
        <v>0.0</v>
      </c>
      <c r="K541" s="4">
        <v>58.0</v>
      </c>
      <c r="L541" s="4">
        <v>38.0</v>
      </c>
      <c r="M541" s="4">
        <v>239.0</v>
      </c>
      <c r="N541" s="4">
        <v>689.0</v>
      </c>
      <c r="O541" s="4">
        <v>2254.0</v>
      </c>
    </row>
    <row r="542">
      <c r="A542" s="4">
        <v>5.553957443E9</v>
      </c>
      <c r="B542" s="5">
        <v>42476.0</v>
      </c>
      <c r="C542" s="4">
        <v>5771.0</v>
      </c>
      <c r="D542" s="4">
        <v>3.76999998092651</v>
      </c>
      <c r="E542" s="4">
        <v>3.76999998092651</v>
      </c>
      <c r="F542" s="4">
        <v>0.0</v>
      </c>
      <c r="G542" s="4">
        <v>0.0</v>
      </c>
      <c r="H542" s="4">
        <v>0.0</v>
      </c>
      <c r="I542" s="4">
        <v>3.76999998092651</v>
      </c>
      <c r="J542" s="4">
        <v>0.0</v>
      </c>
      <c r="K542" s="4">
        <v>0.0</v>
      </c>
      <c r="L542" s="4">
        <v>0.0</v>
      </c>
      <c r="M542" s="4">
        <v>288.0</v>
      </c>
      <c r="N542" s="4">
        <v>521.0</v>
      </c>
      <c r="O542" s="4">
        <v>1831.0</v>
      </c>
    </row>
    <row r="543">
      <c r="A543" s="4">
        <v>5.553957443E9</v>
      </c>
      <c r="B543" s="5">
        <v>42477.0</v>
      </c>
      <c r="C543" s="4">
        <v>655.0</v>
      </c>
      <c r="D543" s="4">
        <v>0.430000007152557</v>
      </c>
      <c r="E543" s="4">
        <v>0.430000007152557</v>
      </c>
      <c r="F543" s="4">
        <v>0.0</v>
      </c>
      <c r="G543" s="4">
        <v>0.0</v>
      </c>
      <c r="H543" s="4">
        <v>0.0</v>
      </c>
      <c r="I543" s="4">
        <v>0.430000007152557</v>
      </c>
      <c r="J543" s="4">
        <v>0.0</v>
      </c>
      <c r="K543" s="4">
        <v>0.0</v>
      </c>
      <c r="L543" s="4">
        <v>0.0</v>
      </c>
      <c r="M543" s="4">
        <v>46.0</v>
      </c>
      <c r="N543" s="4">
        <v>943.0</v>
      </c>
      <c r="O543" s="4">
        <v>1397.0</v>
      </c>
    </row>
    <row r="544">
      <c r="A544" s="4">
        <v>5.553957443E9</v>
      </c>
      <c r="B544" s="5">
        <v>42478.0</v>
      </c>
      <c r="C544" s="4">
        <v>3727.0</v>
      </c>
      <c r="D544" s="4">
        <v>2.4300000667572</v>
      </c>
      <c r="E544" s="4">
        <v>2.4300000667572</v>
      </c>
      <c r="F544" s="4">
        <v>0.0</v>
      </c>
      <c r="G544" s="4">
        <v>0.0</v>
      </c>
      <c r="H544" s="4">
        <v>0.0</v>
      </c>
      <c r="I544" s="4">
        <v>2.4300000667572</v>
      </c>
      <c r="J544" s="4">
        <v>0.0</v>
      </c>
      <c r="K544" s="4">
        <v>0.0</v>
      </c>
      <c r="L544" s="4">
        <v>0.0</v>
      </c>
      <c r="M544" s="4">
        <v>206.0</v>
      </c>
      <c r="N544" s="4">
        <v>622.0</v>
      </c>
      <c r="O544" s="4">
        <v>1683.0</v>
      </c>
    </row>
    <row r="545">
      <c r="A545" s="4">
        <v>5.553957443E9</v>
      </c>
      <c r="B545" s="5">
        <v>42479.0</v>
      </c>
      <c r="C545" s="4">
        <v>15482.0</v>
      </c>
      <c r="D545" s="4">
        <v>10.1099996566772</v>
      </c>
      <c r="E545" s="4">
        <v>10.1099996566772</v>
      </c>
      <c r="F545" s="4">
        <v>0.0</v>
      </c>
      <c r="G545" s="4">
        <v>4.28000020980835</v>
      </c>
      <c r="H545" s="4">
        <v>1.6599999666214</v>
      </c>
      <c r="I545" s="4">
        <v>4.17999982833862</v>
      </c>
      <c r="J545" s="4">
        <v>0.0</v>
      </c>
      <c r="K545" s="4">
        <v>69.0</v>
      </c>
      <c r="L545" s="4">
        <v>28.0</v>
      </c>
      <c r="M545" s="4">
        <v>249.0</v>
      </c>
      <c r="N545" s="4">
        <v>756.0</v>
      </c>
      <c r="O545" s="4">
        <v>2284.0</v>
      </c>
    </row>
    <row r="546">
      <c r="A546" s="4">
        <v>5.553957443E9</v>
      </c>
      <c r="B546" s="5">
        <v>42480.0</v>
      </c>
      <c r="C546" s="4">
        <v>2713.0</v>
      </c>
      <c r="D546" s="4">
        <v>1.76999998092651</v>
      </c>
      <c r="E546" s="4">
        <v>1.76999998092651</v>
      </c>
      <c r="F546" s="4">
        <v>0.0</v>
      </c>
      <c r="G546" s="4">
        <v>0.0</v>
      </c>
      <c r="H546" s="4">
        <v>0.0</v>
      </c>
      <c r="I546" s="4">
        <v>1.76999998092651</v>
      </c>
      <c r="J546" s="4">
        <v>0.0</v>
      </c>
      <c r="K546" s="4">
        <v>0.0</v>
      </c>
      <c r="L546" s="4">
        <v>0.0</v>
      </c>
      <c r="M546" s="4">
        <v>148.0</v>
      </c>
      <c r="N546" s="4">
        <v>598.0</v>
      </c>
      <c r="O546" s="4">
        <v>1570.0</v>
      </c>
    </row>
    <row r="547">
      <c r="A547" s="4">
        <v>5.553957443E9</v>
      </c>
      <c r="B547" s="5">
        <v>42481.0</v>
      </c>
      <c r="C547" s="4">
        <v>12346.0</v>
      </c>
      <c r="D547" s="4">
        <v>8.0600004196167</v>
      </c>
      <c r="E547" s="4">
        <v>8.0600004196167</v>
      </c>
      <c r="F547" s="4">
        <v>0.0</v>
      </c>
      <c r="G547" s="4">
        <v>2.95000004768372</v>
      </c>
      <c r="H547" s="4">
        <v>2.16000008583069</v>
      </c>
      <c r="I547" s="4">
        <v>2.96000003814697</v>
      </c>
      <c r="J547" s="4">
        <v>0.0</v>
      </c>
      <c r="K547" s="4">
        <v>47.0</v>
      </c>
      <c r="L547" s="4">
        <v>42.0</v>
      </c>
      <c r="M547" s="4">
        <v>177.0</v>
      </c>
      <c r="N547" s="4">
        <v>801.0</v>
      </c>
      <c r="O547" s="4">
        <v>2066.0</v>
      </c>
    </row>
    <row r="548">
      <c r="A548" s="4">
        <v>5.553957443E9</v>
      </c>
      <c r="B548" s="5">
        <v>42482.0</v>
      </c>
      <c r="C548" s="4">
        <v>11682.0</v>
      </c>
      <c r="D548" s="4">
        <v>7.63000011444092</v>
      </c>
      <c r="E548" s="4">
        <v>7.63000011444092</v>
      </c>
      <c r="F548" s="4">
        <v>0.0</v>
      </c>
      <c r="G548" s="4">
        <v>1.37999999523163</v>
      </c>
      <c r="H548" s="4">
        <v>0.629999995231628</v>
      </c>
      <c r="I548" s="4">
        <v>5.59999990463257</v>
      </c>
      <c r="J548" s="4">
        <v>0.0</v>
      </c>
      <c r="K548" s="4">
        <v>25.0</v>
      </c>
      <c r="L548" s="4">
        <v>16.0</v>
      </c>
      <c r="M548" s="4">
        <v>270.0</v>
      </c>
      <c r="N548" s="4">
        <v>781.0</v>
      </c>
      <c r="O548" s="4">
        <v>2105.0</v>
      </c>
    </row>
    <row r="549">
      <c r="A549" s="4">
        <v>5.553957443E9</v>
      </c>
      <c r="B549" s="5">
        <v>42483.0</v>
      </c>
      <c r="C549" s="4">
        <v>4112.0</v>
      </c>
      <c r="D549" s="4">
        <v>2.69000005722046</v>
      </c>
      <c r="E549" s="4">
        <v>2.69000005722046</v>
      </c>
      <c r="F549" s="4">
        <v>0.0</v>
      </c>
      <c r="G549" s="4">
        <v>0.0</v>
      </c>
      <c r="H549" s="4">
        <v>0.0</v>
      </c>
      <c r="I549" s="4">
        <v>2.6800000667572</v>
      </c>
      <c r="J549" s="4">
        <v>0.0</v>
      </c>
      <c r="K549" s="4">
        <v>0.0</v>
      </c>
      <c r="L549" s="4">
        <v>0.0</v>
      </c>
      <c r="M549" s="4">
        <v>272.0</v>
      </c>
      <c r="N549" s="4">
        <v>443.0</v>
      </c>
      <c r="O549" s="4">
        <v>1776.0</v>
      </c>
    </row>
    <row r="550">
      <c r="A550" s="4">
        <v>5.553957443E9</v>
      </c>
      <c r="B550" s="5">
        <v>42484.0</v>
      </c>
      <c r="C550" s="4">
        <v>1807.0</v>
      </c>
      <c r="D550" s="4">
        <v>1.17999994754791</v>
      </c>
      <c r="E550" s="4">
        <v>1.17999994754791</v>
      </c>
      <c r="F550" s="4">
        <v>0.0</v>
      </c>
      <c r="G550" s="4">
        <v>0.0</v>
      </c>
      <c r="H550" s="4">
        <v>0.0</v>
      </c>
      <c r="I550" s="4">
        <v>1.17999994754791</v>
      </c>
      <c r="J550" s="4">
        <v>0.0</v>
      </c>
      <c r="K550" s="4">
        <v>0.0</v>
      </c>
      <c r="L550" s="4">
        <v>0.0</v>
      </c>
      <c r="M550" s="4">
        <v>104.0</v>
      </c>
      <c r="N550" s="4">
        <v>582.0</v>
      </c>
      <c r="O550" s="4">
        <v>1507.0</v>
      </c>
    </row>
    <row r="551">
      <c r="A551" s="4">
        <v>5.553957443E9</v>
      </c>
      <c r="B551" s="5">
        <v>42485.0</v>
      </c>
      <c r="C551" s="4">
        <v>10946.0</v>
      </c>
      <c r="D551" s="4">
        <v>7.19000005722046</v>
      </c>
      <c r="E551" s="4">
        <v>7.19000005722046</v>
      </c>
      <c r="F551" s="4">
        <v>0.0</v>
      </c>
      <c r="G551" s="4">
        <v>2.9300000667572</v>
      </c>
      <c r="H551" s="4">
        <v>0.569999992847443</v>
      </c>
      <c r="I551" s="4">
        <v>3.69000005722046</v>
      </c>
      <c r="J551" s="4">
        <v>0.0</v>
      </c>
      <c r="K551" s="4">
        <v>51.0</v>
      </c>
      <c r="L551" s="4">
        <v>11.0</v>
      </c>
      <c r="M551" s="4">
        <v>201.0</v>
      </c>
      <c r="N551" s="4">
        <v>732.0</v>
      </c>
      <c r="O551" s="4">
        <v>2033.0</v>
      </c>
    </row>
    <row r="552">
      <c r="A552" s="4">
        <v>5.553957443E9</v>
      </c>
      <c r="B552" s="5">
        <v>42486.0</v>
      </c>
      <c r="C552" s="4">
        <v>11886.0</v>
      </c>
      <c r="D552" s="4">
        <v>7.76000022888184</v>
      </c>
      <c r="E552" s="4">
        <v>7.76000022888184</v>
      </c>
      <c r="F552" s="4">
        <v>0.0</v>
      </c>
      <c r="G552" s="4">
        <v>2.36999988555908</v>
      </c>
      <c r="H552" s="4">
        <v>0.930000007152557</v>
      </c>
      <c r="I552" s="4">
        <v>4.46000003814697</v>
      </c>
      <c r="J552" s="4">
        <v>0.0</v>
      </c>
      <c r="K552" s="4">
        <v>40.0</v>
      </c>
      <c r="L552" s="4">
        <v>18.0</v>
      </c>
      <c r="M552" s="4">
        <v>238.0</v>
      </c>
      <c r="N552" s="4">
        <v>750.0</v>
      </c>
      <c r="O552" s="4">
        <v>2093.0</v>
      </c>
    </row>
    <row r="553">
      <c r="A553" s="4">
        <v>5.553957443E9</v>
      </c>
      <c r="B553" s="5">
        <v>42487.0</v>
      </c>
      <c r="C553" s="4">
        <v>10538.0</v>
      </c>
      <c r="D553" s="4">
        <v>6.88000011444092</v>
      </c>
      <c r="E553" s="4">
        <v>6.88000011444092</v>
      </c>
      <c r="F553" s="4">
        <v>0.0</v>
      </c>
      <c r="G553" s="4">
        <v>1.13999998569489</v>
      </c>
      <c r="H553" s="4">
        <v>1.0</v>
      </c>
      <c r="I553" s="4">
        <v>4.73999977111816</v>
      </c>
      <c r="J553" s="4">
        <v>0.0</v>
      </c>
      <c r="K553" s="4">
        <v>16.0</v>
      </c>
      <c r="L553" s="4">
        <v>16.0</v>
      </c>
      <c r="M553" s="4">
        <v>206.0</v>
      </c>
      <c r="N553" s="4">
        <v>745.0</v>
      </c>
      <c r="O553" s="4">
        <v>1922.0</v>
      </c>
    </row>
    <row r="554">
      <c r="A554" s="4">
        <v>5.553957443E9</v>
      </c>
      <c r="B554" s="5">
        <v>42488.0</v>
      </c>
      <c r="C554" s="4">
        <v>11393.0</v>
      </c>
      <c r="D554" s="4">
        <v>7.63000011444092</v>
      </c>
      <c r="E554" s="4">
        <v>7.63000011444092</v>
      </c>
      <c r="F554" s="4">
        <v>0.0</v>
      </c>
      <c r="G554" s="4">
        <v>3.71000003814697</v>
      </c>
      <c r="H554" s="4">
        <v>0.75</v>
      </c>
      <c r="I554" s="4">
        <v>3.17000007629395</v>
      </c>
      <c r="J554" s="4">
        <v>0.0</v>
      </c>
      <c r="K554" s="4">
        <v>49.0</v>
      </c>
      <c r="L554" s="4">
        <v>13.0</v>
      </c>
      <c r="M554" s="4">
        <v>165.0</v>
      </c>
      <c r="N554" s="4">
        <v>727.0</v>
      </c>
      <c r="O554" s="4">
        <v>1999.0</v>
      </c>
    </row>
    <row r="555">
      <c r="A555" s="4">
        <v>5.553957443E9</v>
      </c>
      <c r="B555" s="5">
        <v>42489.0</v>
      </c>
      <c r="C555" s="4">
        <v>12764.0</v>
      </c>
      <c r="D555" s="4">
        <v>8.32999992370605</v>
      </c>
      <c r="E555" s="4">
        <v>8.32999992370605</v>
      </c>
      <c r="F555" s="4">
        <v>0.0</v>
      </c>
      <c r="G555" s="4">
        <v>2.78999996185303</v>
      </c>
      <c r="H555" s="4">
        <v>0.639999985694885</v>
      </c>
      <c r="I555" s="4">
        <v>4.90999984741211</v>
      </c>
      <c r="J555" s="4">
        <v>0.0</v>
      </c>
      <c r="K555" s="4">
        <v>46.0</v>
      </c>
      <c r="L555" s="4">
        <v>15.0</v>
      </c>
      <c r="M555" s="4">
        <v>270.0</v>
      </c>
      <c r="N555" s="4">
        <v>709.0</v>
      </c>
      <c r="O555" s="4">
        <v>2169.0</v>
      </c>
    </row>
    <row r="556">
      <c r="A556" s="4">
        <v>5.553957443E9</v>
      </c>
      <c r="B556" s="5">
        <v>42490.0</v>
      </c>
      <c r="C556" s="4">
        <v>1202.0</v>
      </c>
      <c r="D556" s="4">
        <v>0.779999971389771</v>
      </c>
      <c r="E556" s="4">
        <v>0.779999971389771</v>
      </c>
      <c r="F556" s="4">
        <v>0.0</v>
      </c>
      <c r="G556" s="4">
        <v>0.0</v>
      </c>
      <c r="H556" s="4">
        <v>0.0</v>
      </c>
      <c r="I556" s="4">
        <v>0.779999971389771</v>
      </c>
      <c r="J556" s="4">
        <v>0.0</v>
      </c>
      <c r="K556" s="4">
        <v>0.0</v>
      </c>
      <c r="L556" s="4">
        <v>0.0</v>
      </c>
      <c r="M556" s="4">
        <v>84.0</v>
      </c>
      <c r="N556" s="4">
        <v>506.0</v>
      </c>
      <c r="O556" s="4">
        <v>1463.0</v>
      </c>
    </row>
    <row r="557">
      <c r="A557" s="4">
        <v>5.553957443E9</v>
      </c>
      <c r="B557" s="5">
        <v>42491.0</v>
      </c>
      <c r="C557" s="4">
        <v>5164.0</v>
      </c>
      <c r="D557" s="4">
        <v>3.36999988555908</v>
      </c>
      <c r="E557" s="4">
        <v>3.36999988555908</v>
      </c>
      <c r="F557" s="4">
        <v>0.0</v>
      </c>
      <c r="G557" s="4">
        <v>0.0</v>
      </c>
      <c r="H557" s="4">
        <v>0.0</v>
      </c>
      <c r="I557" s="4">
        <v>3.36999988555908</v>
      </c>
      <c r="J557" s="4">
        <v>0.0</v>
      </c>
      <c r="K557" s="4">
        <v>0.0</v>
      </c>
      <c r="L557" s="4">
        <v>0.0</v>
      </c>
      <c r="M557" s="4">
        <v>237.0</v>
      </c>
      <c r="N557" s="4">
        <v>436.0</v>
      </c>
      <c r="O557" s="4">
        <v>1747.0</v>
      </c>
    </row>
    <row r="558">
      <c r="A558" s="4">
        <v>5.553957443E9</v>
      </c>
      <c r="B558" s="5">
        <v>42492.0</v>
      </c>
      <c r="C558" s="4">
        <v>9769.0</v>
      </c>
      <c r="D558" s="4">
        <v>6.38000011444092</v>
      </c>
      <c r="E558" s="4">
        <v>6.38000011444092</v>
      </c>
      <c r="F558" s="4">
        <v>0.0</v>
      </c>
      <c r="G558" s="4">
        <v>1.05999994277954</v>
      </c>
      <c r="H558" s="4">
        <v>0.409999996423721</v>
      </c>
      <c r="I558" s="4">
        <v>4.90000009536743</v>
      </c>
      <c r="J558" s="4">
        <v>0.0</v>
      </c>
      <c r="K558" s="4">
        <v>23.0</v>
      </c>
      <c r="L558" s="4">
        <v>9.0</v>
      </c>
      <c r="M558" s="4">
        <v>227.0</v>
      </c>
      <c r="N558" s="4">
        <v>724.0</v>
      </c>
      <c r="O558" s="4">
        <v>1996.0</v>
      </c>
    </row>
    <row r="559">
      <c r="A559" s="4">
        <v>5.553957443E9</v>
      </c>
      <c r="B559" s="5">
        <v>42493.0</v>
      </c>
      <c r="C559" s="4">
        <v>12848.0</v>
      </c>
      <c r="D559" s="4">
        <v>8.39000034332275</v>
      </c>
      <c r="E559" s="4">
        <v>8.39000034332275</v>
      </c>
      <c r="F559" s="4">
        <v>0.0</v>
      </c>
      <c r="G559" s="4">
        <v>1.5</v>
      </c>
      <c r="H559" s="4">
        <v>1.20000004768372</v>
      </c>
      <c r="I559" s="4">
        <v>5.67999982833862</v>
      </c>
      <c r="J559" s="4">
        <v>0.0</v>
      </c>
      <c r="K559" s="4">
        <v>26.0</v>
      </c>
      <c r="L559" s="4">
        <v>29.0</v>
      </c>
      <c r="M559" s="4">
        <v>247.0</v>
      </c>
      <c r="N559" s="4">
        <v>812.0</v>
      </c>
      <c r="O559" s="4">
        <v>2116.0</v>
      </c>
    </row>
    <row r="560">
      <c r="A560" s="4">
        <v>5.553957443E9</v>
      </c>
      <c r="B560" s="5">
        <v>42494.0</v>
      </c>
      <c r="C560" s="4">
        <v>4249.0</v>
      </c>
      <c r="D560" s="4">
        <v>2.76999998092651</v>
      </c>
      <c r="E560" s="4">
        <v>2.76999998092651</v>
      </c>
      <c r="F560" s="4">
        <v>0.0</v>
      </c>
      <c r="G560" s="4">
        <v>0.0</v>
      </c>
      <c r="H560" s="4">
        <v>0.0</v>
      </c>
      <c r="I560" s="4">
        <v>2.76999998092651</v>
      </c>
      <c r="J560" s="4">
        <v>0.0</v>
      </c>
      <c r="K560" s="4">
        <v>0.0</v>
      </c>
      <c r="L560" s="4">
        <v>0.0</v>
      </c>
      <c r="M560" s="4">
        <v>224.0</v>
      </c>
      <c r="N560" s="4">
        <v>651.0</v>
      </c>
      <c r="O560" s="4">
        <v>1698.0</v>
      </c>
    </row>
    <row r="561">
      <c r="A561" s="4">
        <v>5.553957443E9</v>
      </c>
      <c r="B561" s="5">
        <v>42495.0</v>
      </c>
      <c r="C561" s="4">
        <v>14331.0</v>
      </c>
      <c r="D561" s="4">
        <v>9.51000022888184</v>
      </c>
      <c r="E561" s="4">
        <v>9.51000022888184</v>
      </c>
      <c r="F561" s="4">
        <v>0.0</v>
      </c>
      <c r="G561" s="4">
        <v>3.4300000667572</v>
      </c>
      <c r="H561" s="4">
        <v>1.6599999666214</v>
      </c>
      <c r="I561" s="4">
        <v>4.42999982833862</v>
      </c>
      <c r="J561" s="4">
        <v>0.0</v>
      </c>
      <c r="K561" s="4">
        <v>44.0</v>
      </c>
      <c r="L561" s="4">
        <v>29.0</v>
      </c>
      <c r="M561" s="4">
        <v>241.0</v>
      </c>
      <c r="N561" s="4">
        <v>692.0</v>
      </c>
      <c r="O561" s="4">
        <v>2156.0</v>
      </c>
    </row>
    <row r="562">
      <c r="A562" s="4">
        <v>5.553957443E9</v>
      </c>
      <c r="B562" s="5">
        <v>42496.0</v>
      </c>
      <c r="C562" s="4">
        <v>9632.0</v>
      </c>
      <c r="D562" s="4">
        <v>6.28999996185303</v>
      </c>
      <c r="E562" s="4">
        <v>6.28999996185303</v>
      </c>
      <c r="F562" s="4">
        <v>0.0</v>
      </c>
      <c r="G562" s="4">
        <v>1.51999998092651</v>
      </c>
      <c r="H562" s="4">
        <v>0.540000021457672</v>
      </c>
      <c r="I562" s="4">
        <v>4.23000001907349</v>
      </c>
      <c r="J562" s="4">
        <v>0.0</v>
      </c>
      <c r="K562" s="4">
        <v>21.0</v>
      </c>
      <c r="L562" s="4">
        <v>9.0</v>
      </c>
      <c r="M562" s="4">
        <v>229.0</v>
      </c>
      <c r="N562" s="4">
        <v>761.0</v>
      </c>
      <c r="O562" s="4">
        <v>1916.0</v>
      </c>
    </row>
    <row r="563">
      <c r="A563" s="4">
        <v>5.553957443E9</v>
      </c>
      <c r="B563" s="5">
        <v>42497.0</v>
      </c>
      <c r="C563" s="4">
        <v>1868.0</v>
      </c>
      <c r="D563" s="4">
        <v>1.22000002861023</v>
      </c>
      <c r="E563" s="4">
        <v>1.22000002861023</v>
      </c>
      <c r="F563" s="4">
        <v>0.0</v>
      </c>
      <c r="G563" s="4">
        <v>0.0</v>
      </c>
      <c r="H563" s="4">
        <v>0.0</v>
      </c>
      <c r="I563" s="4">
        <v>1.22000002861023</v>
      </c>
      <c r="J563" s="4">
        <v>0.0</v>
      </c>
      <c r="K563" s="4">
        <v>0.0</v>
      </c>
      <c r="L563" s="4">
        <v>0.0</v>
      </c>
      <c r="M563" s="4">
        <v>96.0</v>
      </c>
      <c r="N563" s="4">
        <v>902.0</v>
      </c>
      <c r="O563" s="4">
        <v>1494.0</v>
      </c>
    </row>
    <row r="564">
      <c r="A564" s="4">
        <v>5.553957443E9</v>
      </c>
      <c r="B564" s="5">
        <v>42498.0</v>
      </c>
      <c r="C564" s="4">
        <v>6083.0</v>
      </c>
      <c r="D564" s="4">
        <v>4.0</v>
      </c>
      <c r="E564" s="4">
        <v>4.0</v>
      </c>
      <c r="F564" s="4">
        <v>0.0</v>
      </c>
      <c r="G564" s="4">
        <v>0.219999998807907</v>
      </c>
      <c r="H564" s="4">
        <v>0.469999998807907</v>
      </c>
      <c r="I564" s="4">
        <v>3.29999995231628</v>
      </c>
      <c r="J564" s="4">
        <v>0.0</v>
      </c>
      <c r="K564" s="4">
        <v>3.0</v>
      </c>
      <c r="L564" s="4">
        <v>8.0</v>
      </c>
      <c r="M564" s="4">
        <v>210.0</v>
      </c>
      <c r="N564" s="4">
        <v>505.0</v>
      </c>
      <c r="O564" s="4">
        <v>1762.0</v>
      </c>
    </row>
    <row r="565">
      <c r="A565" s="4">
        <v>5.553957443E9</v>
      </c>
      <c r="B565" s="5">
        <v>42499.0</v>
      </c>
      <c r="C565" s="4">
        <v>11611.0</v>
      </c>
      <c r="D565" s="4">
        <v>7.57999992370605</v>
      </c>
      <c r="E565" s="4">
        <v>7.57999992370605</v>
      </c>
      <c r="F565" s="4">
        <v>0.0</v>
      </c>
      <c r="G565" s="4">
        <v>2.13000011444092</v>
      </c>
      <c r="H565" s="4">
        <v>0.889999985694885</v>
      </c>
      <c r="I565" s="4">
        <v>4.55999994277954</v>
      </c>
      <c r="J565" s="4">
        <v>0.0</v>
      </c>
      <c r="K565" s="4">
        <v>59.0</v>
      </c>
      <c r="L565" s="4">
        <v>22.0</v>
      </c>
      <c r="M565" s="4">
        <v>251.0</v>
      </c>
      <c r="N565" s="4">
        <v>667.0</v>
      </c>
      <c r="O565" s="4">
        <v>2272.0</v>
      </c>
    </row>
    <row r="566">
      <c r="A566" s="4">
        <v>5.553957443E9</v>
      </c>
      <c r="B566" s="5">
        <v>42500.0</v>
      </c>
      <c r="C566" s="4">
        <v>16358.0</v>
      </c>
      <c r="D566" s="4">
        <v>10.710000038147</v>
      </c>
      <c r="E566" s="4">
        <v>10.710000038147</v>
      </c>
      <c r="F566" s="4">
        <v>0.0</v>
      </c>
      <c r="G566" s="4">
        <v>3.86999988555908</v>
      </c>
      <c r="H566" s="4">
        <v>1.61000001430511</v>
      </c>
      <c r="I566" s="4">
        <v>5.19999980926514</v>
      </c>
      <c r="J566" s="4">
        <v>0.0</v>
      </c>
      <c r="K566" s="4">
        <v>61.0</v>
      </c>
      <c r="L566" s="4">
        <v>40.0</v>
      </c>
      <c r="M566" s="4">
        <v>265.0</v>
      </c>
      <c r="N566" s="4">
        <v>707.0</v>
      </c>
      <c r="O566" s="4">
        <v>2335.0</v>
      </c>
    </row>
    <row r="567">
      <c r="A567" s="4">
        <v>5.553957443E9</v>
      </c>
      <c r="B567" s="5">
        <v>42501.0</v>
      </c>
      <c r="C567" s="4">
        <v>4926.0</v>
      </c>
      <c r="D567" s="4">
        <v>3.22000002861023</v>
      </c>
      <c r="E567" s="4">
        <v>3.22000002861023</v>
      </c>
      <c r="F567" s="4">
        <v>0.0</v>
      </c>
      <c r="G567" s="4">
        <v>0.0</v>
      </c>
      <c r="H567" s="4">
        <v>0.0</v>
      </c>
      <c r="I567" s="4">
        <v>3.22000002861023</v>
      </c>
      <c r="J567" s="4">
        <v>0.0</v>
      </c>
      <c r="K567" s="4">
        <v>0.0</v>
      </c>
      <c r="L567" s="4">
        <v>0.0</v>
      </c>
      <c r="M567" s="4">
        <v>195.0</v>
      </c>
      <c r="N567" s="4">
        <v>628.0</v>
      </c>
      <c r="O567" s="4">
        <v>1693.0</v>
      </c>
    </row>
    <row r="568">
      <c r="A568" s="4">
        <v>5.553957443E9</v>
      </c>
      <c r="B568" s="5">
        <v>42502.0</v>
      </c>
      <c r="C568" s="4">
        <v>3121.0</v>
      </c>
      <c r="D568" s="4">
        <v>2.03999996185303</v>
      </c>
      <c r="E568" s="4">
        <v>2.03999996185303</v>
      </c>
      <c r="F568" s="4">
        <v>0.0</v>
      </c>
      <c r="G568" s="4">
        <v>0.579999983310699</v>
      </c>
      <c r="H568" s="4">
        <v>0.400000005960464</v>
      </c>
      <c r="I568" s="4">
        <v>1.05999994277954</v>
      </c>
      <c r="J568" s="4">
        <v>0.0</v>
      </c>
      <c r="K568" s="4">
        <v>8.0</v>
      </c>
      <c r="L568" s="4">
        <v>6.0</v>
      </c>
      <c r="M568" s="4">
        <v>48.0</v>
      </c>
      <c r="N568" s="4">
        <v>222.0</v>
      </c>
      <c r="O568" s="4">
        <v>741.0</v>
      </c>
    </row>
    <row r="569">
      <c r="A569" s="4">
        <v>5.577150313E9</v>
      </c>
      <c r="B569" s="5">
        <v>42472.0</v>
      </c>
      <c r="C569" s="4">
        <v>8135.0</v>
      </c>
      <c r="D569" s="4">
        <v>6.07999992370605</v>
      </c>
      <c r="E569" s="4">
        <v>6.07999992370605</v>
      </c>
      <c r="F569" s="4">
        <v>0.0</v>
      </c>
      <c r="G569" s="4">
        <v>3.59999990463257</v>
      </c>
      <c r="H569" s="4">
        <v>0.379999995231628</v>
      </c>
      <c r="I569" s="4">
        <v>2.09999990463257</v>
      </c>
      <c r="J569" s="4">
        <v>0.0</v>
      </c>
      <c r="K569" s="4">
        <v>86.0</v>
      </c>
      <c r="L569" s="4">
        <v>16.0</v>
      </c>
      <c r="M569" s="4">
        <v>140.0</v>
      </c>
      <c r="N569" s="4">
        <v>728.0</v>
      </c>
      <c r="O569" s="4">
        <v>3405.0</v>
      </c>
    </row>
    <row r="570">
      <c r="A570" s="4">
        <v>5.577150313E9</v>
      </c>
      <c r="B570" s="5">
        <v>42473.0</v>
      </c>
      <c r="C570" s="4">
        <v>5077.0</v>
      </c>
      <c r="D570" s="4">
        <v>3.78999996185303</v>
      </c>
      <c r="E570" s="4">
        <v>3.78999996185303</v>
      </c>
      <c r="F570" s="4">
        <v>0.0</v>
      </c>
      <c r="G570" s="4">
        <v>0.319999992847443</v>
      </c>
      <c r="H570" s="4">
        <v>0.219999998807907</v>
      </c>
      <c r="I570" s="4">
        <v>3.25</v>
      </c>
      <c r="J570" s="4">
        <v>0.0</v>
      </c>
      <c r="K570" s="4">
        <v>15.0</v>
      </c>
      <c r="L570" s="4">
        <v>11.0</v>
      </c>
      <c r="M570" s="4">
        <v>144.0</v>
      </c>
      <c r="N570" s="4">
        <v>776.0</v>
      </c>
      <c r="O570" s="4">
        <v>2551.0</v>
      </c>
    </row>
    <row r="571">
      <c r="A571" s="4">
        <v>5.577150313E9</v>
      </c>
      <c r="B571" s="5">
        <v>42474.0</v>
      </c>
      <c r="C571" s="4">
        <v>8596.0</v>
      </c>
      <c r="D571" s="4">
        <v>6.42000007629395</v>
      </c>
      <c r="E571" s="4">
        <v>6.42000007629395</v>
      </c>
      <c r="F571" s="4">
        <v>0.0</v>
      </c>
      <c r="G571" s="4">
        <v>3.32999992370605</v>
      </c>
      <c r="H571" s="4">
        <v>0.310000002384186</v>
      </c>
      <c r="I571" s="4">
        <v>2.77999997138977</v>
      </c>
      <c r="J571" s="4">
        <v>0.0</v>
      </c>
      <c r="K571" s="4">
        <v>118.0</v>
      </c>
      <c r="L571" s="4">
        <v>30.0</v>
      </c>
      <c r="M571" s="4">
        <v>176.0</v>
      </c>
      <c r="N571" s="4">
        <v>662.0</v>
      </c>
      <c r="O571" s="4">
        <v>4022.0</v>
      </c>
    </row>
    <row r="572">
      <c r="A572" s="4">
        <v>5.577150313E9</v>
      </c>
      <c r="B572" s="5">
        <v>42475.0</v>
      </c>
      <c r="C572" s="4">
        <v>12087.0</v>
      </c>
      <c r="D572" s="4">
        <v>9.07999992370605</v>
      </c>
      <c r="E572" s="4">
        <v>9.07999992370605</v>
      </c>
      <c r="F572" s="4">
        <v>0.0</v>
      </c>
      <c r="G572" s="4">
        <v>3.92000007629395</v>
      </c>
      <c r="H572" s="4">
        <v>1.60000002384186</v>
      </c>
      <c r="I572" s="4">
        <v>3.55999994277954</v>
      </c>
      <c r="J572" s="4">
        <v>0.0</v>
      </c>
      <c r="K572" s="4">
        <v>115.0</v>
      </c>
      <c r="L572" s="4">
        <v>54.0</v>
      </c>
      <c r="M572" s="4">
        <v>199.0</v>
      </c>
      <c r="N572" s="4">
        <v>695.0</v>
      </c>
      <c r="O572" s="4">
        <v>4005.0</v>
      </c>
    </row>
    <row r="573">
      <c r="A573" s="4">
        <v>5.577150313E9</v>
      </c>
      <c r="B573" s="5">
        <v>42476.0</v>
      </c>
      <c r="C573" s="4">
        <v>14269.0</v>
      </c>
      <c r="D573" s="4">
        <v>10.6599998474121</v>
      </c>
      <c r="E573" s="4">
        <v>10.6599998474121</v>
      </c>
      <c r="F573" s="4">
        <v>0.0</v>
      </c>
      <c r="G573" s="4">
        <v>6.6399998664856</v>
      </c>
      <c r="H573" s="4">
        <v>1.27999997138977</v>
      </c>
      <c r="I573" s="4">
        <v>2.73000001907349</v>
      </c>
      <c r="J573" s="4">
        <v>0.0</v>
      </c>
      <c r="K573" s="4">
        <v>184.0</v>
      </c>
      <c r="L573" s="4">
        <v>56.0</v>
      </c>
      <c r="M573" s="4">
        <v>158.0</v>
      </c>
      <c r="N573" s="4">
        <v>472.0</v>
      </c>
      <c r="O573" s="4">
        <v>4274.0</v>
      </c>
    </row>
    <row r="574">
      <c r="A574" s="4">
        <v>5.577150313E9</v>
      </c>
      <c r="B574" s="5">
        <v>42477.0</v>
      </c>
      <c r="C574" s="4">
        <v>12231.0</v>
      </c>
      <c r="D574" s="4">
        <v>9.14000034332275</v>
      </c>
      <c r="E574" s="4">
        <v>9.14000034332275</v>
      </c>
      <c r="F574" s="4">
        <v>0.0</v>
      </c>
      <c r="G574" s="4">
        <v>5.98000001907349</v>
      </c>
      <c r="H574" s="4">
        <v>0.829999983310699</v>
      </c>
      <c r="I574" s="4">
        <v>2.3199999332428</v>
      </c>
      <c r="J574" s="4">
        <v>0.0</v>
      </c>
      <c r="K574" s="4">
        <v>200.0</v>
      </c>
      <c r="L574" s="4">
        <v>37.0</v>
      </c>
      <c r="M574" s="4">
        <v>159.0</v>
      </c>
      <c r="N574" s="4">
        <v>525.0</v>
      </c>
      <c r="O574" s="4">
        <v>4552.0</v>
      </c>
    </row>
    <row r="575">
      <c r="A575" s="4">
        <v>5.577150313E9</v>
      </c>
      <c r="B575" s="5">
        <v>42478.0</v>
      </c>
      <c r="C575" s="4">
        <v>9893.0</v>
      </c>
      <c r="D575" s="4">
        <v>7.3899998664856</v>
      </c>
      <c r="E575" s="4">
        <v>7.3899998664856</v>
      </c>
      <c r="F575" s="4">
        <v>0.0</v>
      </c>
      <c r="G575" s="4">
        <v>4.8600001335144</v>
      </c>
      <c r="H575" s="4">
        <v>0.720000028610229</v>
      </c>
      <c r="I575" s="4">
        <v>1.82000005245209</v>
      </c>
      <c r="J575" s="4">
        <v>0.0</v>
      </c>
      <c r="K575" s="4">
        <v>114.0</v>
      </c>
      <c r="L575" s="4">
        <v>32.0</v>
      </c>
      <c r="M575" s="4">
        <v>130.0</v>
      </c>
      <c r="N575" s="4">
        <v>623.0</v>
      </c>
      <c r="O575" s="4">
        <v>3625.0</v>
      </c>
    </row>
    <row r="576">
      <c r="A576" s="4">
        <v>5.577150313E9</v>
      </c>
      <c r="B576" s="5">
        <v>42479.0</v>
      </c>
      <c r="C576" s="4">
        <v>12574.0</v>
      </c>
      <c r="D576" s="4">
        <v>9.42000007629395</v>
      </c>
      <c r="E576" s="4">
        <v>9.42000007629395</v>
      </c>
      <c r="F576" s="4">
        <v>0.0</v>
      </c>
      <c r="G576" s="4">
        <v>7.01999998092651</v>
      </c>
      <c r="H576" s="4">
        <v>0.639999985694885</v>
      </c>
      <c r="I576" s="4">
        <v>1.75999999046326</v>
      </c>
      <c r="J576" s="4">
        <v>0.0</v>
      </c>
      <c r="K576" s="4">
        <v>108.0</v>
      </c>
      <c r="L576" s="4">
        <v>23.0</v>
      </c>
      <c r="M576" s="4">
        <v>111.0</v>
      </c>
      <c r="N576" s="4">
        <v>733.0</v>
      </c>
      <c r="O576" s="4">
        <v>3501.0</v>
      </c>
    </row>
    <row r="577">
      <c r="A577" s="4">
        <v>5.577150313E9</v>
      </c>
      <c r="B577" s="5">
        <v>42480.0</v>
      </c>
      <c r="C577" s="4">
        <v>8330.0</v>
      </c>
      <c r="D577" s="4">
        <v>6.21999979019165</v>
      </c>
      <c r="E577" s="4">
        <v>6.21999979019165</v>
      </c>
      <c r="F577" s="4">
        <v>0.0</v>
      </c>
      <c r="G577" s="4">
        <v>4.11999988555908</v>
      </c>
      <c r="H577" s="4">
        <v>0.340000003576279</v>
      </c>
      <c r="I577" s="4">
        <v>1.75999999046326</v>
      </c>
      <c r="J577" s="4">
        <v>0.0</v>
      </c>
      <c r="K577" s="4">
        <v>87.0</v>
      </c>
      <c r="L577" s="4">
        <v>16.0</v>
      </c>
      <c r="M577" s="4">
        <v>113.0</v>
      </c>
      <c r="N577" s="4">
        <v>773.0</v>
      </c>
      <c r="O577" s="4">
        <v>3192.0</v>
      </c>
    </row>
    <row r="578">
      <c r="A578" s="4">
        <v>5.577150313E9</v>
      </c>
      <c r="B578" s="5">
        <v>42481.0</v>
      </c>
      <c r="C578" s="4">
        <v>10830.0</v>
      </c>
      <c r="D578" s="4">
        <v>8.09000015258789</v>
      </c>
      <c r="E578" s="4">
        <v>8.09000015258789</v>
      </c>
      <c r="F578" s="4">
        <v>0.0</v>
      </c>
      <c r="G578" s="4">
        <v>3.65000009536743</v>
      </c>
      <c r="H578" s="4">
        <v>1.6599999666214</v>
      </c>
      <c r="I578" s="4">
        <v>2.77999997138977</v>
      </c>
      <c r="J578" s="4">
        <v>0.0</v>
      </c>
      <c r="K578" s="4">
        <v>110.0</v>
      </c>
      <c r="L578" s="4">
        <v>74.0</v>
      </c>
      <c r="M578" s="4">
        <v>175.0</v>
      </c>
      <c r="N578" s="4">
        <v>670.0</v>
      </c>
      <c r="O578" s="4">
        <v>4018.0</v>
      </c>
    </row>
    <row r="579">
      <c r="A579" s="4">
        <v>5.577150313E9</v>
      </c>
      <c r="B579" s="5">
        <v>42482.0</v>
      </c>
      <c r="C579" s="4">
        <v>9172.0</v>
      </c>
      <c r="D579" s="4">
        <v>6.84999990463257</v>
      </c>
      <c r="E579" s="4">
        <v>6.84999990463257</v>
      </c>
      <c r="F579" s="4">
        <v>0.0</v>
      </c>
      <c r="G579" s="4">
        <v>2.42000007629395</v>
      </c>
      <c r="H579" s="4">
        <v>0.790000021457672</v>
      </c>
      <c r="I579" s="4">
        <v>3.29999995231628</v>
      </c>
      <c r="J579" s="4">
        <v>0.0</v>
      </c>
      <c r="K579" s="4">
        <v>62.0</v>
      </c>
      <c r="L579" s="4">
        <v>30.0</v>
      </c>
      <c r="M579" s="4">
        <v>200.0</v>
      </c>
      <c r="N579" s="4">
        <v>823.0</v>
      </c>
      <c r="O579" s="4">
        <v>3329.0</v>
      </c>
    </row>
    <row r="580">
      <c r="A580" s="4">
        <v>5.577150313E9</v>
      </c>
      <c r="B580" s="5">
        <v>42483.0</v>
      </c>
      <c r="C580" s="4">
        <v>7638.0</v>
      </c>
      <c r="D580" s="4">
        <v>5.71000003814697</v>
      </c>
      <c r="E580" s="4">
        <v>5.71000003814697</v>
      </c>
      <c r="F580" s="4">
        <v>0.0</v>
      </c>
      <c r="G580" s="4">
        <v>1.21000003814697</v>
      </c>
      <c r="H580" s="4">
        <v>0.360000014305115</v>
      </c>
      <c r="I580" s="4">
        <v>4.1399998664856</v>
      </c>
      <c r="J580" s="4">
        <v>0.0</v>
      </c>
      <c r="K580" s="4">
        <v>24.0</v>
      </c>
      <c r="L580" s="4">
        <v>24.0</v>
      </c>
      <c r="M580" s="4">
        <v>223.0</v>
      </c>
      <c r="N580" s="4">
        <v>627.0</v>
      </c>
      <c r="O580" s="4">
        <v>3152.0</v>
      </c>
    </row>
    <row r="581">
      <c r="A581" s="4">
        <v>5.577150313E9</v>
      </c>
      <c r="B581" s="5">
        <v>42484.0</v>
      </c>
      <c r="C581" s="4">
        <v>15764.0</v>
      </c>
      <c r="D581" s="4">
        <v>11.7799997329712</v>
      </c>
      <c r="E581" s="4">
        <v>11.7799997329712</v>
      </c>
      <c r="F581" s="4">
        <v>0.0</v>
      </c>
      <c r="G581" s="4">
        <v>7.65000009536743</v>
      </c>
      <c r="H581" s="4">
        <v>2.15000009536743</v>
      </c>
      <c r="I581" s="4">
        <v>1.98000001907349</v>
      </c>
      <c r="J581" s="4">
        <v>0.0</v>
      </c>
      <c r="K581" s="4">
        <v>210.0</v>
      </c>
      <c r="L581" s="4">
        <v>65.0</v>
      </c>
      <c r="M581" s="4">
        <v>141.0</v>
      </c>
      <c r="N581" s="4">
        <v>425.0</v>
      </c>
      <c r="O581" s="4">
        <v>4392.0</v>
      </c>
    </row>
    <row r="582">
      <c r="A582" s="4">
        <v>5.577150313E9</v>
      </c>
      <c r="B582" s="5">
        <v>42485.0</v>
      </c>
      <c r="C582" s="4">
        <v>6393.0</v>
      </c>
      <c r="D582" s="4">
        <v>4.78000020980835</v>
      </c>
      <c r="E582" s="4">
        <v>4.78000020980835</v>
      </c>
      <c r="F582" s="4">
        <v>0.0</v>
      </c>
      <c r="G582" s="4">
        <v>1.35000002384186</v>
      </c>
      <c r="H582" s="4">
        <v>0.670000016689301</v>
      </c>
      <c r="I582" s="4">
        <v>2.75999999046326</v>
      </c>
      <c r="J582" s="4">
        <v>0.0</v>
      </c>
      <c r="K582" s="4">
        <v>61.0</v>
      </c>
      <c r="L582" s="4">
        <v>38.0</v>
      </c>
      <c r="M582" s="4">
        <v>214.0</v>
      </c>
      <c r="N582" s="4">
        <v>743.0</v>
      </c>
      <c r="O582" s="4">
        <v>3374.0</v>
      </c>
    </row>
    <row r="583">
      <c r="A583" s="4">
        <v>5.577150313E9</v>
      </c>
      <c r="B583" s="5">
        <v>42486.0</v>
      </c>
      <c r="C583" s="4">
        <v>5325.0</v>
      </c>
      <c r="D583" s="4">
        <v>3.98000001907349</v>
      </c>
      <c r="E583" s="4">
        <v>3.98000001907349</v>
      </c>
      <c r="F583" s="4">
        <v>0.0</v>
      </c>
      <c r="G583" s="4">
        <v>0.850000023841858</v>
      </c>
      <c r="H583" s="4">
        <v>0.649999976158142</v>
      </c>
      <c r="I583" s="4">
        <v>2.47000002861023</v>
      </c>
      <c r="J583" s="4">
        <v>0.0</v>
      </c>
      <c r="K583" s="4">
        <v>38.0</v>
      </c>
      <c r="L583" s="4">
        <v>32.0</v>
      </c>
      <c r="M583" s="4">
        <v>181.0</v>
      </c>
      <c r="N583" s="4">
        <v>759.0</v>
      </c>
      <c r="O583" s="4">
        <v>3088.0</v>
      </c>
    </row>
    <row r="584">
      <c r="A584" s="4">
        <v>5.577150313E9</v>
      </c>
      <c r="B584" s="5">
        <v>42487.0</v>
      </c>
      <c r="C584" s="4">
        <v>6805.0</v>
      </c>
      <c r="D584" s="4">
        <v>5.1399998664856</v>
      </c>
      <c r="E584" s="4">
        <v>5.1399998664856</v>
      </c>
      <c r="F584" s="4">
        <v>0.0</v>
      </c>
      <c r="G584" s="4">
        <v>1.80999994277954</v>
      </c>
      <c r="H584" s="4">
        <v>0.400000005960464</v>
      </c>
      <c r="I584" s="4">
        <v>2.9300000667572</v>
      </c>
      <c r="J584" s="4">
        <v>0.0</v>
      </c>
      <c r="K584" s="4">
        <v>63.0</v>
      </c>
      <c r="L584" s="4">
        <v>16.0</v>
      </c>
      <c r="M584" s="4">
        <v>190.0</v>
      </c>
      <c r="N584" s="4">
        <v>773.0</v>
      </c>
      <c r="O584" s="4">
        <v>3294.0</v>
      </c>
    </row>
    <row r="585">
      <c r="A585" s="4">
        <v>5.577150313E9</v>
      </c>
      <c r="B585" s="5">
        <v>42488.0</v>
      </c>
      <c r="C585" s="4">
        <v>9841.0</v>
      </c>
      <c r="D585" s="4">
        <v>7.42999982833862</v>
      </c>
      <c r="E585" s="4">
        <v>7.42999982833862</v>
      </c>
      <c r="F585" s="4">
        <v>0.0</v>
      </c>
      <c r="G585" s="4">
        <v>3.25</v>
      </c>
      <c r="H585" s="4">
        <v>1.16999995708466</v>
      </c>
      <c r="I585" s="4">
        <v>3.00999999046326</v>
      </c>
      <c r="J585" s="4">
        <v>0.0</v>
      </c>
      <c r="K585" s="4">
        <v>99.0</v>
      </c>
      <c r="L585" s="4">
        <v>51.0</v>
      </c>
      <c r="M585" s="4">
        <v>141.0</v>
      </c>
      <c r="N585" s="4">
        <v>692.0</v>
      </c>
      <c r="O585" s="4">
        <v>3580.0</v>
      </c>
    </row>
    <row r="586">
      <c r="A586" s="4">
        <v>5.577150313E9</v>
      </c>
      <c r="B586" s="5">
        <v>42489.0</v>
      </c>
      <c r="C586" s="4">
        <v>7924.0</v>
      </c>
      <c r="D586" s="4">
        <v>5.92000007629395</v>
      </c>
      <c r="E586" s="4">
        <v>5.92000007629395</v>
      </c>
      <c r="F586" s="4">
        <v>0.0</v>
      </c>
      <c r="G586" s="4">
        <v>2.83999991416931</v>
      </c>
      <c r="H586" s="4">
        <v>0.610000014305115</v>
      </c>
      <c r="I586" s="4">
        <v>2.47000002861023</v>
      </c>
      <c r="J586" s="4">
        <v>0.0</v>
      </c>
      <c r="K586" s="4">
        <v>97.0</v>
      </c>
      <c r="L586" s="4">
        <v>36.0</v>
      </c>
      <c r="M586" s="4">
        <v>165.0</v>
      </c>
      <c r="N586" s="4">
        <v>739.0</v>
      </c>
      <c r="O586" s="4">
        <v>3544.0</v>
      </c>
    </row>
    <row r="587">
      <c r="A587" s="4">
        <v>5.577150313E9</v>
      </c>
      <c r="B587" s="5">
        <v>42490.0</v>
      </c>
      <c r="C587" s="4">
        <v>12363.0</v>
      </c>
      <c r="D587" s="4">
        <v>9.23999977111816</v>
      </c>
      <c r="E587" s="4">
        <v>9.23999977111816</v>
      </c>
      <c r="F587" s="4">
        <v>0.0</v>
      </c>
      <c r="G587" s="4">
        <v>5.82999992370605</v>
      </c>
      <c r="H587" s="4">
        <v>0.790000021457672</v>
      </c>
      <c r="I587" s="4">
        <v>2.60999989509583</v>
      </c>
      <c r="J587" s="4">
        <v>0.0</v>
      </c>
      <c r="K587" s="4">
        <v>207.0</v>
      </c>
      <c r="L587" s="4">
        <v>45.0</v>
      </c>
      <c r="M587" s="4">
        <v>163.0</v>
      </c>
      <c r="N587" s="4">
        <v>621.0</v>
      </c>
      <c r="O587" s="4">
        <v>4501.0</v>
      </c>
    </row>
    <row r="588">
      <c r="A588" s="4">
        <v>5.577150313E9</v>
      </c>
      <c r="B588" s="5">
        <v>42491.0</v>
      </c>
      <c r="C588" s="4">
        <v>13368.0</v>
      </c>
      <c r="D588" s="4">
        <v>9.98999977111816</v>
      </c>
      <c r="E588" s="4">
        <v>9.98999977111816</v>
      </c>
      <c r="F588" s="4">
        <v>0.0</v>
      </c>
      <c r="G588" s="4">
        <v>5.30999994277954</v>
      </c>
      <c r="H588" s="4">
        <v>1.44000005722046</v>
      </c>
      <c r="I588" s="4">
        <v>3.24000000953674</v>
      </c>
      <c r="J588" s="4">
        <v>0.0</v>
      </c>
      <c r="K588" s="4">
        <v>194.0</v>
      </c>
      <c r="L588" s="4">
        <v>72.0</v>
      </c>
      <c r="M588" s="4">
        <v>178.0</v>
      </c>
      <c r="N588" s="4">
        <v>499.0</v>
      </c>
      <c r="O588" s="4">
        <v>4546.0</v>
      </c>
    </row>
    <row r="589">
      <c r="A589" s="4">
        <v>5.577150313E9</v>
      </c>
      <c r="B589" s="5">
        <v>42492.0</v>
      </c>
      <c r="C589" s="4">
        <v>7439.0</v>
      </c>
      <c r="D589" s="4">
        <v>5.55999994277954</v>
      </c>
      <c r="E589" s="4">
        <v>5.55999994277954</v>
      </c>
      <c r="F589" s="4">
        <v>0.0</v>
      </c>
      <c r="G589" s="4">
        <v>1.12000000476837</v>
      </c>
      <c r="H589" s="4">
        <v>0.349999994039536</v>
      </c>
      <c r="I589" s="4">
        <v>4.07000017166138</v>
      </c>
      <c r="J589" s="4">
        <v>0.0</v>
      </c>
      <c r="K589" s="4">
        <v>37.0</v>
      </c>
      <c r="L589" s="4">
        <v>20.0</v>
      </c>
      <c r="M589" s="4">
        <v>235.0</v>
      </c>
      <c r="N589" s="4">
        <v>732.0</v>
      </c>
      <c r="O589" s="4">
        <v>3014.0</v>
      </c>
    </row>
    <row r="590">
      <c r="A590" s="4">
        <v>5.577150313E9</v>
      </c>
      <c r="B590" s="5">
        <v>42493.0</v>
      </c>
      <c r="C590" s="4">
        <v>11045.0</v>
      </c>
      <c r="D590" s="4">
        <v>8.25</v>
      </c>
      <c r="E590" s="4">
        <v>8.25</v>
      </c>
      <c r="F590" s="4">
        <v>0.0</v>
      </c>
      <c r="G590" s="4">
        <v>4.51999998092651</v>
      </c>
      <c r="H590" s="4">
        <v>0.150000005960464</v>
      </c>
      <c r="I590" s="4">
        <v>3.5699999332428</v>
      </c>
      <c r="J590" s="4">
        <v>0.0</v>
      </c>
      <c r="K590" s="4">
        <v>97.0</v>
      </c>
      <c r="L590" s="4">
        <v>8.0</v>
      </c>
      <c r="M590" s="4">
        <v>212.0</v>
      </c>
      <c r="N590" s="4">
        <v>580.0</v>
      </c>
      <c r="O590" s="4">
        <v>3795.0</v>
      </c>
    </row>
    <row r="591">
      <c r="A591" s="4">
        <v>5.577150313E9</v>
      </c>
      <c r="B591" s="5">
        <v>42494.0</v>
      </c>
      <c r="C591" s="4">
        <v>5206.0</v>
      </c>
      <c r="D591" s="4">
        <v>3.89000010490417</v>
      </c>
      <c r="E591" s="4">
        <v>3.89000010490417</v>
      </c>
      <c r="F591" s="4">
        <v>0.0</v>
      </c>
      <c r="G591" s="4">
        <v>1.55999994277954</v>
      </c>
      <c r="H591" s="4">
        <v>0.25</v>
      </c>
      <c r="I591" s="4">
        <v>2.07999992370605</v>
      </c>
      <c r="J591" s="4">
        <v>0.0</v>
      </c>
      <c r="K591" s="4">
        <v>25.0</v>
      </c>
      <c r="L591" s="4">
        <v>9.0</v>
      </c>
      <c r="M591" s="4">
        <v>141.0</v>
      </c>
      <c r="N591" s="4">
        <v>631.0</v>
      </c>
      <c r="O591" s="4">
        <v>2755.0</v>
      </c>
    </row>
    <row r="592">
      <c r="A592" s="4">
        <v>5.577150313E9</v>
      </c>
      <c r="B592" s="5">
        <v>42495.0</v>
      </c>
      <c r="C592" s="4">
        <v>7550.0</v>
      </c>
      <c r="D592" s="4">
        <v>5.6399998664856</v>
      </c>
      <c r="E592" s="4">
        <v>5.6399998664856</v>
      </c>
      <c r="F592" s="4">
        <v>0.0</v>
      </c>
      <c r="G592" s="4">
        <v>2.5</v>
      </c>
      <c r="H592" s="4">
        <v>0.469999998807907</v>
      </c>
      <c r="I592" s="4">
        <v>2.67000007629395</v>
      </c>
      <c r="J592" s="4">
        <v>0.0</v>
      </c>
      <c r="K592" s="4">
        <v>45.0</v>
      </c>
      <c r="L592" s="4">
        <v>21.0</v>
      </c>
      <c r="M592" s="4">
        <v>143.0</v>
      </c>
      <c r="N592" s="4">
        <v>1153.0</v>
      </c>
      <c r="O592" s="4">
        <v>3004.0</v>
      </c>
    </row>
    <row r="593">
      <c r="A593" s="4">
        <v>5.577150313E9</v>
      </c>
      <c r="B593" s="5">
        <v>42496.0</v>
      </c>
      <c r="C593" s="4">
        <v>4950.0</v>
      </c>
      <c r="D593" s="4">
        <v>3.70000004768372</v>
      </c>
      <c r="E593" s="4">
        <v>3.70000004768372</v>
      </c>
      <c r="F593" s="4">
        <v>0.0</v>
      </c>
      <c r="G593" s="4">
        <v>1.92999994754791</v>
      </c>
      <c r="H593" s="4">
        <v>0.319999992847443</v>
      </c>
      <c r="I593" s="4">
        <v>1.45000004768372</v>
      </c>
      <c r="J593" s="4">
        <v>0.0</v>
      </c>
      <c r="K593" s="4">
        <v>41.0</v>
      </c>
      <c r="L593" s="4">
        <v>16.0</v>
      </c>
      <c r="M593" s="4">
        <v>79.0</v>
      </c>
      <c r="N593" s="4">
        <v>1304.0</v>
      </c>
      <c r="O593" s="4">
        <v>2643.0</v>
      </c>
    </row>
    <row r="594">
      <c r="A594" s="4">
        <v>5.577150313E9</v>
      </c>
      <c r="B594" s="5">
        <v>42497.0</v>
      </c>
      <c r="C594" s="4">
        <v>0.0</v>
      </c>
      <c r="D594" s="4">
        <v>0.0</v>
      </c>
      <c r="E594" s="4">
        <v>0.0</v>
      </c>
      <c r="F594" s="4">
        <v>0.0</v>
      </c>
      <c r="G594" s="4">
        <v>0.0</v>
      </c>
      <c r="H594" s="4">
        <v>0.0</v>
      </c>
      <c r="I594" s="4">
        <v>0.0</v>
      </c>
      <c r="J594" s="4">
        <v>0.0</v>
      </c>
      <c r="K594" s="4">
        <v>0.0</v>
      </c>
      <c r="L594" s="4">
        <v>0.0</v>
      </c>
      <c r="M594" s="4">
        <v>0.0</v>
      </c>
      <c r="N594" s="4">
        <v>1440.0</v>
      </c>
      <c r="O594" s="4">
        <v>1819.0</v>
      </c>
    </row>
    <row r="595">
      <c r="A595" s="4">
        <v>5.577150313E9</v>
      </c>
      <c r="B595" s="5">
        <v>42498.0</v>
      </c>
      <c r="C595" s="4">
        <v>0.0</v>
      </c>
      <c r="D595" s="4">
        <v>0.0</v>
      </c>
      <c r="E595" s="4">
        <v>0.0</v>
      </c>
      <c r="F595" s="4">
        <v>0.0</v>
      </c>
      <c r="G595" s="4">
        <v>0.0</v>
      </c>
      <c r="H595" s="4">
        <v>0.0</v>
      </c>
      <c r="I595" s="4">
        <v>0.0</v>
      </c>
      <c r="J595" s="4">
        <v>0.0</v>
      </c>
      <c r="K595" s="4">
        <v>0.0</v>
      </c>
      <c r="L595" s="4">
        <v>0.0</v>
      </c>
      <c r="M595" s="4">
        <v>0.0</v>
      </c>
      <c r="N595" s="4">
        <v>1440.0</v>
      </c>
      <c r="O595" s="4">
        <v>1819.0</v>
      </c>
    </row>
    <row r="596">
      <c r="A596" s="4">
        <v>5.577150313E9</v>
      </c>
      <c r="B596" s="5">
        <v>42499.0</v>
      </c>
      <c r="C596" s="4">
        <v>3421.0</v>
      </c>
      <c r="D596" s="4">
        <v>2.55999994277954</v>
      </c>
      <c r="E596" s="4">
        <v>2.55999994277954</v>
      </c>
      <c r="F596" s="4">
        <v>0.0</v>
      </c>
      <c r="G596" s="4">
        <v>1.42999994754791</v>
      </c>
      <c r="H596" s="4">
        <v>0.140000000596046</v>
      </c>
      <c r="I596" s="4">
        <v>0.990000009536743</v>
      </c>
      <c r="J596" s="4">
        <v>0.0</v>
      </c>
      <c r="K596" s="4">
        <v>34.0</v>
      </c>
      <c r="L596" s="4">
        <v>11.0</v>
      </c>
      <c r="M596" s="4">
        <v>70.0</v>
      </c>
      <c r="N596" s="4">
        <v>1099.0</v>
      </c>
      <c r="O596" s="4">
        <v>2489.0</v>
      </c>
    </row>
    <row r="597">
      <c r="A597" s="4">
        <v>5.577150313E9</v>
      </c>
      <c r="B597" s="5">
        <v>42500.0</v>
      </c>
      <c r="C597" s="4">
        <v>8869.0</v>
      </c>
      <c r="D597" s="4">
        <v>6.65000009536743</v>
      </c>
      <c r="E597" s="4">
        <v>6.65000009536743</v>
      </c>
      <c r="F597" s="4">
        <v>0.0</v>
      </c>
      <c r="G597" s="4">
        <v>2.55999994277954</v>
      </c>
      <c r="H597" s="4">
        <v>0.75</v>
      </c>
      <c r="I597" s="4">
        <v>3.34999990463257</v>
      </c>
      <c r="J597" s="4">
        <v>0.0</v>
      </c>
      <c r="K597" s="4">
        <v>104.0</v>
      </c>
      <c r="L597" s="4">
        <v>37.0</v>
      </c>
      <c r="M597" s="4">
        <v>194.0</v>
      </c>
      <c r="N597" s="4">
        <v>639.0</v>
      </c>
      <c r="O597" s="4">
        <v>3841.0</v>
      </c>
    </row>
    <row r="598">
      <c r="A598" s="4">
        <v>5.577150313E9</v>
      </c>
      <c r="B598" s="5">
        <v>42501.0</v>
      </c>
      <c r="C598" s="4">
        <v>4038.0</v>
      </c>
      <c r="D598" s="4">
        <v>3.03999996185303</v>
      </c>
      <c r="E598" s="4">
        <v>3.03999996185303</v>
      </c>
      <c r="F598" s="4">
        <v>0.0</v>
      </c>
      <c r="G598" s="4">
        <v>1.83000004291534</v>
      </c>
      <c r="H598" s="4">
        <v>0.300000011920929</v>
      </c>
      <c r="I598" s="4">
        <v>0.889999985694885</v>
      </c>
      <c r="J598" s="4">
        <v>0.0</v>
      </c>
      <c r="K598" s="4">
        <v>45.0</v>
      </c>
      <c r="L598" s="4">
        <v>15.0</v>
      </c>
      <c r="M598" s="4">
        <v>63.0</v>
      </c>
      <c r="N598" s="4">
        <v>257.0</v>
      </c>
      <c r="O598" s="4">
        <v>1665.0</v>
      </c>
    </row>
    <row r="599">
      <c r="A599" s="4">
        <v>6.11766616E9</v>
      </c>
      <c r="B599" s="5">
        <v>42472.0</v>
      </c>
      <c r="C599" s="4">
        <v>0.0</v>
      </c>
      <c r="D599" s="4">
        <v>0.0</v>
      </c>
      <c r="E599" s="4">
        <v>0.0</v>
      </c>
      <c r="F599" s="4">
        <v>0.0</v>
      </c>
      <c r="G599" s="4">
        <v>0.0</v>
      </c>
      <c r="H599" s="4">
        <v>0.0</v>
      </c>
      <c r="I599" s="4">
        <v>0.0</v>
      </c>
      <c r="J599" s="4">
        <v>0.0</v>
      </c>
      <c r="K599" s="4">
        <v>0.0</v>
      </c>
      <c r="L599" s="4">
        <v>0.0</v>
      </c>
      <c r="M599" s="4">
        <v>0.0</v>
      </c>
      <c r="N599" s="4">
        <v>1440.0</v>
      </c>
      <c r="O599" s="4">
        <v>1496.0</v>
      </c>
    </row>
    <row r="600">
      <c r="A600" s="4">
        <v>6.11766616E9</v>
      </c>
      <c r="B600" s="5">
        <v>42473.0</v>
      </c>
      <c r="C600" s="4">
        <v>0.0</v>
      </c>
      <c r="D600" s="4">
        <v>0.0</v>
      </c>
      <c r="E600" s="4">
        <v>0.0</v>
      </c>
      <c r="F600" s="4">
        <v>0.0</v>
      </c>
      <c r="G600" s="4">
        <v>0.0</v>
      </c>
      <c r="H600" s="4">
        <v>0.0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1440.0</v>
      </c>
      <c r="O600" s="4">
        <v>1496.0</v>
      </c>
    </row>
    <row r="601">
      <c r="A601" s="4">
        <v>6.11766616E9</v>
      </c>
      <c r="B601" s="5">
        <v>42474.0</v>
      </c>
      <c r="C601" s="4">
        <v>0.0</v>
      </c>
      <c r="D601" s="4">
        <v>0.0</v>
      </c>
      <c r="E601" s="4">
        <v>0.0</v>
      </c>
      <c r="F601" s="4">
        <v>0.0</v>
      </c>
      <c r="G601" s="4">
        <v>0.0</v>
      </c>
      <c r="H601" s="4">
        <v>0.0</v>
      </c>
      <c r="I601" s="4">
        <v>0.0</v>
      </c>
      <c r="J601" s="4">
        <v>0.0</v>
      </c>
      <c r="K601" s="4">
        <v>0.0</v>
      </c>
      <c r="L601" s="4">
        <v>0.0</v>
      </c>
      <c r="M601" s="4">
        <v>0.0</v>
      </c>
      <c r="N601" s="4">
        <v>1440.0</v>
      </c>
      <c r="O601" s="4">
        <v>1496.0</v>
      </c>
    </row>
    <row r="602">
      <c r="A602" s="4">
        <v>6.11766616E9</v>
      </c>
      <c r="B602" s="5">
        <v>42475.0</v>
      </c>
      <c r="C602" s="4">
        <v>14019.0</v>
      </c>
      <c r="D602" s="4">
        <v>10.5900001525879</v>
      </c>
      <c r="E602" s="4">
        <v>10.5900001525879</v>
      </c>
      <c r="F602" s="4">
        <v>0.0</v>
      </c>
      <c r="G602" s="4">
        <v>0.0</v>
      </c>
      <c r="H602" s="4">
        <v>0.280000001192093</v>
      </c>
      <c r="I602" s="4">
        <v>10.3000001907349</v>
      </c>
      <c r="J602" s="4">
        <v>0.0</v>
      </c>
      <c r="K602" s="4">
        <v>0.0</v>
      </c>
      <c r="L602" s="4">
        <v>6.0</v>
      </c>
      <c r="M602" s="4">
        <v>513.0</v>
      </c>
      <c r="N602" s="4">
        <v>921.0</v>
      </c>
      <c r="O602" s="4">
        <v>2865.0</v>
      </c>
    </row>
    <row r="603">
      <c r="A603" s="4">
        <v>6.11766616E9</v>
      </c>
      <c r="B603" s="5">
        <v>42476.0</v>
      </c>
      <c r="C603" s="4">
        <v>14450.0</v>
      </c>
      <c r="D603" s="4">
        <v>10.9099998474121</v>
      </c>
      <c r="E603" s="4">
        <v>10.9099998474121</v>
      </c>
      <c r="F603" s="4">
        <v>0.0</v>
      </c>
      <c r="G603" s="4">
        <v>0.579999983310699</v>
      </c>
      <c r="H603" s="4">
        <v>0.850000023841858</v>
      </c>
      <c r="I603" s="4">
        <v>9.47999954223633</v>
      </c>
      <c r="J603" s="4">
        <v>0.0</v>
      </c>
      <c r="K603" s="4">
        <v>7.0</v>
      </c>
      <c r="L603" s="4">
        <v>15.0</v>
      </c>
      <c r="M603" s="4">
        <v>518.0</v>
      </c>
      <c r="N603" s="4">
        <v>502.0</v>
      </c>
      <c r="O603" s="4">
        <v>2828.0</v>
      </c>
    </row>
    <row r="604">
      <c r="A604" s="4">
        <v>6.11766616E9</v>
      </c>
      <c r="B604" s="5">
        <v>42477.0</v>
      </c>
      <c r="C604" s="4">
        <v>7150.0</v>
      </c>
      <c r="D604" s="4">
        <v>5.40000009536743</v>
      </c>
      <c r="E604" s="4">
        <v>5.40000009536743</v>
      </c>
      <c r="F604" s="4">
        <v>0.0</v>
      </c>
      <c r="G604" s="4">
        <v>0.0</v>
      </c>
      <c r="H604" s="4">
        <v>0.0</v>
      </c>
      <c r="I604" s="4">
        <v>5.40000009536743</v>
      </c>
      <c r="J604" s="4">
        <v>0.0</v>
      </c>
      <c r="K604" s="4">
        <v>0.0</v>
      </c>
      <c r="L604" s="4">
        <v>0.0</v>
      </c>
      <c r="M604" s="4">
        <v>312.0</v>
      </c>
      <c r="N604" s="4">
        <v>702.0</v>
      </c>
      <c r="O604" s="4">
        <v>2225.0</v>
      </c>
    </row>
    <row r="605">
      <c r="A605" s="4">
        <v>6.11766616E9</v>
      </c>
      <c r="B605" s="5">
        <v>42478.0</v>
      </c>
      <c r="C605" s="4">
        <v>5153.0</v>
      </c>
      <c r="D605" s="4">
        <v>3.91000008583069</v>
      </c>
      <c r="E605" s="4">
        <v>3.91000008583069</v>
      </c>
      <c r="F605" s="4">
        <v>0.0</v>
      </c>
      <c r="G605" s="4">
        <v>0.0</v>
      </c>
      <c r="H605" s="4">
        <v>0.0</v>
      </c>
      <c r="I605" s="4">
        <v>3.89000010490417</v>
      </c>
      <c r="J605" s="4">
        <v>0.0</v>
      </c>
      <c r="K605" s="4">
        <v>0.0</v>
      </c>
      <c r="L605" s="4">
        <v>0.0</v>
      </c>
      <c r="M605" s="4">
        <v>241.0</v>
      </c>
      <c r="N605" s="4">
        <v>759.0</v>
      </c>
      <c r="O605" s="4">
        <v>2018.0</v>
      </c>
    </row>
    <row r="606">
      <c r="A606" s="4">
        <v>6.11766616E9</v>
      </c>
      <c r="B606" s="5">
        <v>42479.0</v>
      </c>
      <c r="C606" s="4">
        <v>11135.0</v>
      </c>
      <c r="D606" s="4">
        <v>8.40999984741211</v>
      </c>
      <c r="E606" s="4">
        <v>8.40999984741211</v>
      </c>
      <c r="F606" s="4">
        <v>0.0</v>
      </c>
      <c r="G606" s="4">
        <v>0.0</v>
      </c>
      <c r="H606" s="4">
        <v>0.0</v>
      </c>
      <c r="I606" s="4">
        <v>8.40999984741211</v>
      </c>
      <c r="J606" s="4">
        <v>0.0</v>
      </c>
      <c r="K606" s="4">
        <v>0.0</v>
      </c>
      <c r="L606" s="4">
        <v>0.0</v>
      </c>
      <c r="M606" s="4">
        <v>480.0</v>
      </c>
      <c r="N606" s="4">
        <v>425.0</v>
      </c>
      <c r="O606" s="4">
        <v>2606.0</v>
      </c>
    </row>
    <row r="607">
      <c r="A607" s="4">
        <v>6.11766616E9</v>
      </c>
      <c r="B607" s="5">
        <v>42480.0</v>
      </c>
      <c r="C607" s="4">
        <v>10449.0</v>
      </c>
      <c r="D607" s="4">
        <v>8.02000045776367</v>
      </c>
      <c r="E607" s="4">
        <v>8.02000045776367</v>
      </c>
      <c r="F607" s="4">
        <v>0.0</v>
      </c>
      <c r="G607" s="4">
        <v>2.02999997138977</v>
      </c>
      <c r="H607" s="4">
        <v>0.479999989271164</v>
      </c>
      <c r="I607" s="4">
        <v>5.51999998092651</v>
      </c>
      <c r="J607" s="4">
        <v>0.0</v>
      </c>
      <c r="K607" s="4">
        <v>26.0</v>
      </c>
      <c r="L607" s="4">
        <v>10.0</v>
      </c>
      <c r="M607" s="4">
        <v>349.0</v>
      </c>
      <c r="N607" s="4">
        <v>587.0</v>
      </c>
      <c r="O607" s="4">
        <v>2536.0</v>
      </c>
    </row>
    <row r="608">
      <c r="A608" s="4">
        <v>6.11766616E9</v>
      </c>
      <c r="B608" s="5">
        <v>42481.0</v>
      </c>
      <c r="C608" s="4">
        <v>19542.0</v>
      </c>
      <c r="D608" s="4">
        <v>15.0100002288818</v>
      </c>
      <c r="E608" s="4">
        <v>15.0100002288818</v>
      </c>
      <c r="F608" s="4">
        <v>0.0</v>
      </c>
      <c r="G608" s="4">
        <v>0.980000019073486</v>
      </c>
      <c r="H608" s="4">
        <v>0.400000005960464</v>
      </c>
      <c r="I608" s="4">
        <v>5.61999988555908</v>
      </c>
      <c r="J608" s="4">
        <v>0.0</v>
      </c>
      <c r="K608" s="4">
        <v>11.0</v>
      </c>
      <c r="L608" s="4">
        <v>19.0</v>
      </c>
      <c r="M608" s="4">
        <v>294.0</v>
      </c>
      <c r="N608" s="4">
        <v>579.0</v>
      </c>
      <c r="O608" s="4">
        <v>4900.0</v>
      </c>
    </row>
    <row r="609">
      <c r="A609" s="4">
        <v>6.11766616E9</v>
      </c>
      <c r="B609" s="5">
        <v>42482.0</v>
      </c>
      <c r="C609" s="4">
        <v>8206.0</v>
      </c>
      <c r="D609" s="4">
        <v>6.19999980926514</v>
      </c>
      <c r="E609" s="4">
        <v>6.19999980926514</v>
      </c>
      <c r="F609" s="4">
        <v>0.0</v>
      </c>
      <c r="G609" s="4">
        <v>0.0</v>
      </c>
      <c r="H609" s="4">
        <v>0.0</v>
      </c>
      <c r="I609" s="4">
        <v>6.19999980926514</v>
      </c>
      <c r="J609" s="4">
        <v>0.0</v>
      </c>
      <c r="K609" s="4">
        <v>0.0</v>
      </c>
      <c r="L609" s="4">
        <v>0.0</v>
      </c>
      <c r="M609" s="4">
        <v>402.0</v>
      </c>
      <c r="N609" s="4">
        <v>413.0</v>
      </c>
      <c r="O609" s="4">
        <v>2409.0</v>
      </c>
    </row>
    <row r="610">
      <c r="A610" s="4">
        <v>6.11766616E9</v>
      </c>
      <c r="B610" s="5">
        <v>42483.0</v>
      </c>
      <c r="C610" s="4">
        <v>11495.0</v>
      </c>
      <c r="D610" s="4">
        <v>8.68000030517578</v>
      </c>
      <c r="E610" s="4">
        <v>8.68000030517578</v>
      </c>
      <c r="F610" s="4">
        <v>0.0</v>
      </c>
      <c r="G610" s="4">
        <v>0.0</v>
      </c>
      <c r="H610" s="4">
        <v>0.0</v>
      </c>
      <c r="I610" s="4">
        <v>8.68000030517578</v>
      </c>
      <c r="J610" s="4">
        <v>0.0</v>
      </c>
      <c r="K610" s="4">
        <v>0.0</v>
      </c>
      <c r="L610" s="4">
        <v>0.0</v>
      </c>
      <c r="M610" s="4">
        <v>512.0</v>
      </c>
      <c r="N610" s="4">
        <v>468.0</v>
      </c>
      <c r="O610" s="4">
        <v>2651.0</v>
      </c>
    </row>
    <row r="611">
      <c r="A611" s="4">
        <v>6.11766616E9</v>
      </c>
      <c r="B611" s="5">
        <v>42484.0</v>
      </c>
      <c r="C611" s="4">
        <v>7623.0</v>
      </c>
      <c r="D611" s="4">
        <v>5.76000022888184</v>
      </c>
      <c r="E611" s="4">
        <v>5.76000022888184</v>
      </c>
      <c r="F611" s="4">
        <v>0.0</v>
      </c>
      <c r="G611" s="4">
        <v>0.0</v>
      </c>
      <c r="H611" s="4">
        <v>0.0</v>
      </c>
      <c r="I611" s="4">
        <v>5.76000022888184</v>
      </c>
      <c r="J611" s="4">
        <v>0.0</v>
      </c>
      <c r="K611" s="4">
        <v>0.0</v>
      </c>
      <c r="L611" s="4">
        <v>0.0</v>
      </c>
      <c r="M611" s="4">
        <v>362.0</v>
      </c>
      <c r="N611" s="4">
        <v>711.0</v>
      </c>
      <c r="O611" s="4">
        <v>2305.0</v>
      </c>
    </row>
    <row r="612">
      <c r="A612" s="4">
        <v>6.11766616E9</v>
      </c>
      <c r="B612" s="5">
        <v>42485.0</v>
      </c>
      <c r="C612" s="4">
        <v>0.0</v>
      </c>
      <c r="D612" s="4">
        <v>0.0</v>
      </c>
      <c r="E612" s="4">
        <v>0.0</v>
      </c>
      <c r="F612" s="4">
        <v>0.0</v>
      </c>
      <c r="G612" s="4">
        <v>0.0</v>
      </c>
      <c r="H612" s="4">
        <v>0.0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1440.0</v>
      </c>
      <c r="O612" s="4">
        <v>1497.0</v>
      </c>
    </row>
    <row r="613">
      <c r="A613" s="4">
        <v>6.11766616E9</v>
      </c>
      <c r="B613" s="5">
        <v>42486.0</v>
      </c>
      <c r="C613" s="4">
        <v>9543.0</v>
      </c>
      <c r="D613" s="4">
        <v>7.21000003814697</v>
      </c>
      <c r="E613" s="4">
        <v>7.21000003814697</v>
      </c>
      <c r="F613" s="4">
        <v>0.0</v>
      </c>
      <c r="G613" s="4">
        <v>0.0</v>
      </c>
      <c r="H613" s="4">
        <v>0.340000003576279</v>
      </c>
      <c r="I613" s="4">
        <v>6.86999988555908</v>
      </c>
      <c r="J613" s="4">
        <v>0.0</v>
      </c>
      <c r="K613" s="4">
        <v>0.0</v>
      </c>
      <c r="L613" s="4">
        <v>7.0</v>
      </c>
      <c r="M613" s="4">
        <v>352.0</v>
      </c>
      <c r="N613" s="4">
        <v>1077.0</v>
      </c>
      <c r="O613" s="4">
        <v>2450.0</v>
      </c>
    </row>
    <row r="614">
      <c r="A614" s="4">
        <v>6.11766616E9</v>
      </c>
      <c r="B614" s="5">
        <v>42487.0</v>
      </c>
      <c r="C614" s="4">
        <v>9411.0</v>
      </c>
      <c r="D614" s="4">
        <v>7.1100001335144</v>
      </c>
      <c r="E614" s="4">
        <v>7.1100001335144</v>
      </c>
      <c r="F614" s="4">
        <v>0.0</v>
      </c>
      <c r="G614" s="4">
        <v>0.0</v>
      </c>
      <c r="H614" s="4">
        <v>0.0</v>
      </c>
      <c r="I614" s="4">
        <v>7.1100001335144</v>
      </c>
      <c r="J614" s="4">
        <v>0.0</v>
      </c>
      <c r="K614" s="4">
        <v>0.0</v>
      </c>
      <c r="L614" s="4">
        <v>0.0</v>
      </c>
      <c r="M614" s="4">
        <v>458.0</v>
      </c>
      <c r="N614" s="4">
        <v>417.0</v>
      </c>
      <c r="O614" s="4">
        <v>2576.0</v>
      </c>
    </row>
    <row r="615">
      <c r="A615" s="4">
        <v>6.11766616E9</v>
      </c>
      <c r="B615" s="5">
        <v>42488.0</v>
      </c>
      <c r="C615" s="4">
        <v>3403.0</v>
      </c>
      <c r="D615" s="4">
        <v>2.59999990463257</v>
      </c>
      <c r="E615" s="4">
        <v>2.59999990463257</v>
      </c>
      <c r="F615" s="4">
        <v>0.0</v>
      </c>
      <c r="G615" s="4">
        <v>0.0</v>
      </c>
      <c r="H615" s="4">
        <v>0.0</v>
      </c>
      <c r="I615" s="4">
        <v>2.59999990463257</v>
      </c>
      <c r="J615" s="4">
        <v>0.0</v>
      </c>
      <c r="K615" s="4">
        <v>0.0</v>
      </c>
      <c r="L615" s="4">
        <v>0.0</v>
      </c>
      <c r="M615" s="4">
        <v>141.0</v>
      </c>
      <c r="N615" s="4">
        <v>758.0</v>
      </c>
      <c r="O615" s="4">
        <v>1879.0</v>
      </c>
    </row>
    <row r="616">
      <c r="A616" s="4">
        <v>6.11766616E9</v>
      </c>
      <c r="B616" s="5">
        <v>42489.0</v>
      </c>
      <c r="C616" s="4">
        <v>9592.0</v>
      </c>
      <c r="D616" s="4">
        <v>7.23999977111816</v>
      </c>
      <c r="E616" s="4">
        <v>7.23999977111816</v>
      </c>
      <c r="F616" s="4">
        <v>0.0</v>
      </c>
      <c r="G616" s="4">
        <v>0.0</v>
      </c>
      <c r="H616" s="4">
        <v>0.0</v>
      </c>
      <c r="I616" s="4">
        <v>7.23999977111816</v>
      </c>
      <c r="J616" s="4">
        <v>0.0</v>
      </c>
      <c r="K616" s="4">
        <v>0.0</v>
      </c>
      <c r="L616" s="4">
        <v>0.0</v>
      </c>
      <c r="M616" s="4">
        <v>461.0</v>
      </c>
      <c r="N616" s="4">
        <v>479.0</v>
      </c>
      <c r="O616" s="4">
        <v>2560.0</v>
      </c>
    </row>
    <row r="617">
      <c r="A617" s="4">
        <v>6.11766616E9</v>
      </c>
      <c r="B617" s="5">
        <v>42490.0</v>
      </c>
      <c r="C617" s="4">
        <v>6987.0</v>
      </c>
      <c r="D617" s="4">
        <v>5.28000020980835</v>
      </c>
      <c r="E617" s="4">
        <v>5.28000020980835</v>
      </c>
      <c r="F617" s="4">
        <v>0.0</v>
      </c>
      <c r="G617" s="4">
        <v>0.0</v>
      </c>
      <c r="H617" s="4">
        <v>0.0</v>
      </c>
      <c r="I617" s="4">
        <v>5.28000020980835</v>
      </c>
      <c r="J617" s="4">
        <v>0.0</v>
      </c>
      <c r="K617" s="4">
        <v>0.0</v>
      </c>
      <c r="L617" s="4">
        <v>0.0</v>
      </c>
      <c r="M617" s="4">
        <v>343.0</v>
      </c>
      <c r="N617" s="4">
        <v>1040.0</v>
      </c>
      <c r="O617" s="4">
        <v>2275.0</v>
      </c>
    </row>
    <row r="618">
      <c r="A618" s="4">
        <v>6.11766616E9</v>
      </c>
      <c r="B618" s="5">
        <v>42491.0</v>
      </c>
      <c r="C618" s="4">
        <v>8915.0</v>
      </c>
      <c r="D618" s="4">
        <v>6.73000001907349</v>
      </c>
      <c r="E618" s="4">
        <v>6.73000001907349</v>
      </c>
      <c r="F618" s="4">
        <v>0.0</v>
      </c>
      <c r="G618" s="4">
        <v>0.0</v>
      </c>
      <c r="H618" s="4">
        <v>0.0</v>
      </c>
      <c r="I618" s="4">
        <v>6.73000001907349</v>
      </c>
      <c r="J618" s="4">
        <v>0.0</v>
      </c>
      <c r="K618" s="4">
        <v>0.0</v>
      </c>
      <c r="L618" s="4">
        <v>0.0</v>
      </c>
      <c r="M618" s="4">
        <v>397.0</v>
      </c>
      <c r="N618" s="4">
        <v>525.0</v>
      </c>
      <c r="O618" s="4">
        <v>2361.0</v>
      </c>
    </row>
    <row r="619">
      <c r="A619" s="4">
        <v>6.11766616E9</v>
      </c>
      <c r="B619" s="5">
        <v>42492.0</v>
      </c>
      <c r="C619" s="4">
        <v>4933.0</v>
      </c>
      <c r="D619" s="4">
        <v>3.73000001907349</v>
      </c>
      <c r="E619" s="4">
        <v>3.73000001907349</v>
      </c>
      <c r="F619" s="4">
        <v>0.0</v>
      </c>
      <c r="G619" s="4">
        <v>0.0</v>
      </c>
      <c r="H619" s="4">
        <v>0.0</v>
      </c>
      <c r="I619" s="4">
        <v>3.73000001907349</v>
      </c>
      <c r="J619" s="4">
        <v>0.0</v>
      </c>
      <c r="K619" s="4">
        <v>0.0</v>
      </c>
      <c r="L619" s="4">
        <v>0.0</v>
      </c>
      <c r="M619" s="4">
        <v>236.0</v>
      </c>
      <c r="N619" s="4">
        <v>1204.0</v>
      </c>
      <c r="O619" s="4">
        <v>2044.0</v>
      </c>
    </row>
    <row r="620">
      <c r="A620" s="4">
        <v>6.11766616E9</v>
      </c>
      <c r="B620" s="5">
        <v>42493.0</v>
      </c>
      <c r="C620" s="4">
        <v>0.0</v>
      </c>
      <c r="D620" s="4">
        <v>0.0</v>
      </c>
      <c r="E620" s="4">
        <v>0.0</v>
      </c>
      <c r="F620" s="4">
        <v>0.0</v>
      </c>
      <c r="G620" s="4">
        <v>0.0</v>
      </c>
      <c r="H620" s="4">
        <v>0.0</v>
      </c>
      <c r="I620" s="4">
        <v>0.0</v>
      </c>
      <c r="J620" s="4">
        <v>0.0</v>
      </c>
      <c r="K620" s="4">
        <v>0.0</v>
      </c>
      <c r="L620" s="4">
        <v>0.0</v>
      </c>
      <c r="M620" s="4">
        <v>0.0</v>
      </c>
      <c r="N620" s="4">
        <v>1440.0</v>
      </c>
      <c r="O620" s="4">
        <v>1496.0</v>
      </c>
    </row>
    <row r="621">
      <c r="A621" s="4">
        <v>6.11766616E9</v>
      </c>
      <c r="B621" s="5">
        <v>42494.0</v>
      </c>
      <c r="C621" s="4">
        <v>2997.0</v>
      </c>
      <c r="D621" s="4">
        <v>2.25999999046326</v>
      </c>
      <c r="E621" s="4">
        <v>2.25999999046326</v>
      </c>
      <c r="F621" s="4">
        <v>0.0</v>
      </c>
      <c r="G621" s="4">
        <v>0.0</v>
      </c>
      <c r="H621" s="4">
        <v>0.0</v>
      </c>
      <c r="I621" s="4">
        <v>2.25999999046326</v>
      </c>
      <c r="J621" s="4">
        <v>0.0</v>
      </c>
      <c r="K621" s="4">
        <v>0.0</v>
      </c>
      <c r="L621" s="4">
        <v>0.0</v>
      </c>
      <c r="M621" s="4">
        <v>156.0</v>
      </c>
      <c r="N621" s="4">
        <v>1279.0</v>
      </c>
      <c r="O621" s="4">
        <v>1902.0</v>
      </c>
    </row>
    <row r="622">
      <c r="A622" s="4">
        <v>6.11766616E9</v>
      </c>
      <c r="B622" s="5">
        <v>42495.0</v>
      </c>
      <c r="C622" s="4">
        <v>9799.0</v>
      </c>
      <c r="D622" s="4">
        <v>7.40000009536743</v>
      </c>
      <c r="E622" s="4">
        <v>7.40000009536743</v>
      </c>
      <c r="F622" s="4">
        <v>0.0</v>
      </c>
      <c r="G622" s="4">
        <v>0.0</v>
      </c>
      <c r="H622" s="4">
        <v>0.0</v>
      </c>
      <c r="I622" s="4">
        <v>7.40000009536743</v>
      </c>
      <c r="J622" s="4">
        <v>0.0</v>
      </c>
      <c r="K622" s="4">
        <v>0.0</v>
      </c>
      <c r="L622" s="4">
        <v>0.0</v>
      </c>
      <c r="M622" s="4">
        <v>487.0</v>
      </c>
      <c r="N622" s="4">
        <v>479.0</v>
      </c>
      <c r="O622" s="4">
        <v>2636.0</v>
      </c>
    </row>
    <row r="623">
      <c r="A623" s="4">
        <v>6.11766616E9</v>
      </c>
      <c r="B623" s="5">
        <v>42496.0</v>
      </c>
      <c r="C623" s="4">
        <v>3365.0</v>
      </c>
      <c r="D623" s="4">
        <v>2.6800000667572</v>
      </c>
      <c r="E623" s="4">
        <v>2.6800000667572</v>
      </c>
      <c r="F623" s="4">
        <v>0.0</v>
      </c>
      <c r="G623" s="4">
        <v>0.0</v>
      </c>
      <c r="H623" s="4">
        <v>0.0</v>
      </c>
      <c r="I623" s="4">
        <v>2.6800000667572</v>
      </c>
      <c r="J623" s="4">
        <v>0.0</v>
      </c>
      <c r="K623" s="4">
        <v>0.0</v>
      </c>
      <c r="L623" s="4">
        <v>0.0</v>
      </c>
      <c r="M623" s="4">
        <v>133.0</v>
      </c>
      <c r="N623" s="4">
        <v>673.0</v>
      </c>
      <c r="O623" s="4">
        <v>1838.0</v>
      </c>
    </row>
    <row r="624">
      <c r="A624" s="4">
        <v>6.11766616E9</v>
      </c>
      <c r="B624" s="5">
        <v>42497.0</v>
      </c>
      <c r="C624" s="4">
        <v>7336.0</v>
      </c>
      <c r="D624" s="4">
        <v>5.53999996185303</v>
      </c>
      <c r="E624" s="4">
        <v>5.53999996185303</v>
      </c>
      <c r="F624" s="4">
        <v>0.0</v>
      </c>
      <c r="G624" s="4">
        <v>0.0</v>
      </c>
      <c r="H624" s="4">
        <v>0.0</v>
      </c>
      <c r="I624" s="4">
        <v>5.53999996185303</v>
      </c>
      <c r="J624" s="4">
        <v>0.0</v>
      </c>
      <c r="K624" s="4">
        <v>0.0</v>
      </c>
      <c r="L624" s="4">
        <v>0.0</v>
      </c>
      <c r="M624" s="4">
        <v>412.0</v>
      </c>
      <c r="N624" s="4">
        <v>456.0</v>
      </c>
      <c r="O624" s="4">
        <v>2469.0</v>
      </c>
    </row>
    <row r="625">
      <c r="A625" s="4">
        <v>6.11766616E9</v>
      </c>
      <c r="B625" s="5">
        <v>42498.0</v>
      </c>
      <c r="C625" s="4">
        <v>7328.0</v>
      </c>
      <c r="D625" s="4">
        <v>5.53000020980835</v>
      </c>
      <c r="E625" s="4">
        <v>5.53000020980835</v>
      </c>
      <c r="F625" s="4">
        <v>0.0</v>
      </c>
      <c r="G625" s="4">
        <v>0.0</v>
      </c>
      <c r="H625" s="4">
        <v>0.0</v>
      </c>
      <c r="I625" s="4">
        <v>5.53000020980835</v>
      </c>
      <c r="J625" s="4">
        <v>0.0</v>
      </c>
      <c r="K625" s="4">
        <v>0.0</v>
      </c>
      <c r="L625" s="4">
        <v>0.0</v>
      </c>
      <c r="M625" s="4">
        <v>318.0</v>
      </c>
      <c r="N625" s="4">
        <v>517.0</v>
      </c>
      <c r="O625" s="4">
        <v>2250.0</v>
      </c>
    </row>
    <row r="626">
      <c r="A626" s="4">
        <v>6.11766616E9</v>
      </c>
      <c r="B626" s="5">
        <v>42499.0</v>
      </c>
      <c r="C626" s="4">
        <v>4477.0</v>
      </c>
      <c r="D626" s="4">
        <v>3.38000011444092</v>
      </c>
      <c r="E626" s="4">
        <v>3.38000011444092</v>
      </c>
      <c r="F626" s="4">
        <v>0.0</v>
      </c>
      <c r="G626" s="4">
        <v>0.0</v>
      </c>
      <c r="H626" s="4">
        <v>0.0</v>
      </c>
      <c r="I626" s="4">
        <v>3.38000011444092</v>
      </c>
      <c r="J626" s="4">
        <v>0.0</v>
      </c>
      <c r="K626" s="4">
        <v>0.0</v>
      </c>
      <c r="L626" s="4">
        <v>0.0</v>
      </c>
      <c r="M626" s="4">
        <v>197.0</v>
      </c>
      <c r="N626" s="4">
        <v>125.0</v>
      </c>
      <c r="O626" s="4">
        <v>1248.0</v>
      </c>
    </row>
    <row r="627">
      <c r="A627" s="4">
        <v>6.290855005E9</v>
      </c>
      <c r="B627" s="5">
        <v>42472.0</v>
      </c>
      <c r="C627" s="4">
        <v>4562.0</v>
      </c>
      <c r="D627" s="4">
        <v>3.45000004768372</v>
      </c>
      <c r="E627" s="4">
        <v>3.45000004768372</v>
      </c>
      <c r="F627" s="4">
        <v>0.0</v>
      </c>
      <c r="G627" s="4">
        <v>0.0</v>
      </c>
      <c r="H627" s="4">
        <v>0.0</v>
      </c>
      <c r="I627" s="4">
        <v>3.45000004768372</v>
      </c>
      <c r="J627" s="4">
        <v>0.0</v>
      </c>
      <c r="K627" s="4">
        <v>0.0</v>
      </c>
      <c r="L627" s="4">
        <v>0.0</v>
      </c>
      <c r="M627" s="4">
        <v>199.0</v>
      </c>
      <c r="N627" s="4">
        <v>1241.0</v>
      </c>
      <c r="O627" s="4">
        <v>2560.0</v>
      </c>
    </row>
    <row r="628">
      <c r="A628" s="4">
        <v>6.290855005E9</v>
      </c>
      <c r="B628" s="5">
        <v>42473.0</v>
      </c>
      <c r="C628" s="4">
        <v>7142.0</v>
      </c>
      <c r="D628" s="4">
        <v>5.40000009536743</v>
      </c>
      <c r="E628" s="4">
        <v>5.40000009536743</v>
      </c>
      <c r="F628" s="4">
        <v>0.0</v>
      </c>
      <c r="G628" s="4">
        <v>0.0</v>
      </c>
      <c r="H628" s="4">
        <v>0.0</v>
      </c>
      <c r="I628" s="4">
        <v>5.3899998664856</v>
      </c>
      <c r="J628" s="4">
        <v>0.00999999977648258</v>
      </c>
      <c r="K628" s="4">
        <v>0.0</v>
      </c>
      <c r="L628" s="4">
        <v>0.0</v>
      </c>
      <c r="M628" s="4">
        <v>350.0</v>
      </c>
      <c r="N628" s="4">
        <v>1090.0</v>
      </c>
      <c r="O628" s="4">
        <v>2905.0</v>
      </c>
    </row>
    <row r="629">
      <c r="A629" s="4">
        <v>6.290855005E9</v>
      </c>
      <c r="B629" s="5">
        <v>42474.0</v>
      </c>
      <c r="C629" s="4">
        <v>7671.0</v>
      </c>
      <c r="D629" s="4">
        <v>5.80000019073486</v>
      </c>
      <c r="E629" s="4">
        <v>5.80000019073486</v>
      </c>
      <c r="F629" s="4">
        <v>0.0</v>
      </c>
      <c r="G629" s="4">
        <v>0.0</v>
      </c>
      <c r="H629" s="4">
        <v>0.0</v>
      </c>
      <c r="I629" s="4">
        <v>5.76999998092651</v>
      </c>
      <c r="J629" s="4">
        <v>0.0299999993294477</v>
      </c>
      <c r="K629" s="4">
        <v>0.0</v>
      </c>
      <c r="L629" s="4">
        <v>0.0</v>
      </c>
      <c r="M629" s="4">
        <v>363.0</v>
      </c>
      <c r="N629" s="4">
        <v>1077.0</v>
      </c>
      <c r="O629" s="4">
        <v>2952.0</v>
      </c>
    </row>
    <row r="630">
      <c r="A630" s="4">
        <v>6.290855005E9</v>
      </c>
      <c r="B630" s="5">
        <v>42475.0</v>
      </c>
      <c r="C630" s="4">
        <v>9501.0</v>
      </c>
      <c r="D630" s="4">
        <v>7.17999982833862</v>
      </c>
      <c r="E630" s="4">
        <v>7.17999982833862</v>
      </c>
      <c r="F630" s="4">
        <v>0.0</v>
      </c>
      <c r="G630" s="4">
        <v>0.0</v>
      </c>
      <c r="H630" s="4">
        <v>0.0</v>
      </c>
      <c r="I630" s="4">
        <v>7.17000007629395</v>
      </c>
      <c r="J630" s="4">
        <v>0.00999999977648258</v>
      </c>
      <c r="K630" s="4">
        <v>0.0</v>
      </c>
      <c r="L630" s="4">
        <v>0.0</v>
      </c>
      <c r="M630" s="4">
        <v>328.0</v>
      </c>
      <c r="N630" s="4">
        <v>1112.0</v>
      </c>
      <c r="O630" s="4">
        <v>2896.0</v>
      </c>
    </row>
    <row r="631">
      <c r="A631" s="4">
        <v>6.290855005E9</v>
      </c>
      <c r="B631" s="5">
        <v>42476.0</v>
      </c>
      <c r="C631" s="4">
        <v>8301.0</v>
      </c>
      <c r="D631" s="4">
        <v>6.28000020980835</v>
      </c>
      <c r="E631" s="4">
        <v>6.28000020980835</v>
      </c>
      <c r="F631" s="4">
        <v>0.0</v>
      </c>
      <c r="G631" s="4">
        <v>0.0</v>
      </c>
      <c r="H631" s="4">
        <v>0.0</v>
      </c>
      <c r="I631" s="4">
        <v>6.26999998092651</v>
      </c>
      <c r="J631" s="4">
        <v>0.00999999977648258</v>
      </c>
      <c r="K631" s="4">
        <v>0.0</v>
      </c>
      <c r="L631" s="4">
        <v>0.0</v>
      </c>
      <c r="M631" s="4">
        <v>258.0</v>
      </c>
      <c r="N631" s="4">
        <v>1182.0</v>
      </c>
      <c r="O631" s="4">
        <v>2783.0</v>
      </c>
    </row>
    <row r="632">
      <c r="A632" s="4">
        <v>6.290855005E9</v>
      </c>
      <c r="B632" s="5">
        <v>42477.0</v>
      </c>
      <c r="C632" s="4">
        <v>7851.0</v>
      </c>
      <c r="D632" s="4">
        <v>5.94000005722046</v>
      </c>
      <c r="E632" s="4">
        <v>5.94000005722046</v>
      </c>
      <c r="F632" s="4">
        <v>0.0</v>
      </c>
      <c r="G632" s="4">
        <v>1.13999998569489</v>
      </c>
      <c r="H632" s="4">
        <v>0.790000021457672</v>
      </c>
      <c r="I632" s="4">
        <v>4.0</v>
      </c>
      <c r="J632" s="4">
        <v>0.0</v>
      </c>
      <c r="K632" s="4">
        <v>31.0</v>
      </c>
      <c r="L632" s="4">
        <v>12.0</v>
      </c>
      <c r="M632" s="4">
        <v>225.0</v>
      </c>
      <c r="N632" s="4">
        <v>1172.0</v>
      </c>
      <c r="O632" s="4">
        <v>3171.0</v>
      </c>
    </row>
    <row r="633">
      <c r="A633" s="4">
        <v>6.290855005E9</v>
      </c>
      <c r="B633" s="5">
        <v>42478.0</v>
      </c>
      <c r="C633" s="4">
        <v>6885.0</v>
      </c>
      <c r="D633" s="4">
        <v>5.21000003814697</v>
      </c>
      <c r="E633" s="4">
        <v>5.21000003814697</v>
      </c>
      <c r="F633" s="4">
        <v>0.0</v>
      </c>
      <c r="G633" s="4">
        <v>0.0</v>
      </c>
      <c r="H633" s="4">
        <v>0.0</v>
      </c>
      <c r="I633" s="4">
        <v>5.19000005722046</v>
      </c>
      <c r="J633" s="4">
        <v>0.0199999995529652</v>
      </c>
      <c r="K633" s="4">
        <v>0.0</v>
      </c>
      <c r="L633" s="4">
        <v>0.0</v>
      </c>
      <c r="M633" s="4">
        <v>271.0</v>
      </c>
      <c r="N633" s="4">
        <v>1169.0</v>
      </c>
      <c r="O633" s="4">
        <v>2766.0</v>
      </c>
    </row>
    <row r="634">
      <c r="A634" s="4">
        <v>6.290855005E9</v>
      </c>
      <c r="B634" s="5">
        <v>42479.0</v>
      </c>
      <c r="C634" s="4">
        <v>7142.0</v>
      </c>
      <c r="D634" s="4">
        <v>5.40000009536743</v>
      </c>
      <c r="E634" s="4">
        <v>5.40000009536743</v>
      </c>
      <c r="F634" s="4">
        <v>0.0</v>
      </c>
      <c r="G634" s="4">
        <v>0.0</v>
      </c>
      <c r="H634" s="4">
        <v>0.0</v>
      </c>
      <c r="I634" s="4">
        <v>5.3899998664856</v>
      </c>
      <c r="J634" s="4">
        <v>0.00999999977648258</v>
      </c>
      <c r="K634" s="4">
        <v>0.0</v>
      </c>
      <c r="L634" s="4">
        <v>0.0</v>
      </c>
      <c r="M634" s="4">
        <v>321.0</v>
      </c>
      <c r="N634" s="4">
        <v>1119.0</v>
      </c>
      <c r="O634" s="4">
        <v>2839.0</v>
      </c>
    </row>
    <row r="635">
      <c r="A635" s="4">
        <v>6.290855005E9</v>
      </c>
      <c r="B635" s="5">
        <v>42480.0</v>
      </c>
      <c r="C635" s="4">
        <v>6361.0</v>
      </c>
      <c r="D635" s="4">
        <v>4.80999994277954</v>
      </c>
      <c r="E635" s="4">
        <v>4.80999994277954</v>
      </c>
      <c r="F635" s="4">
        <v>0.0</v>
      </c>
      <c r="G635" s="4">
        <v>0.0</v>
      </c>
      <c r="H635" s="4">
        <v>0.0</v>
      </c>
      <c r="I635" s="4">
        <v>4.80000019073486</v>
      </c>
      <c r="J635" s="4">
        <v>0.00999999977648258</v>
      </c>
      <c r="K635" s="4">
        <v>0.0</v>
      </c>
      <c r="L635" s="4">
        <v>0.0</v>
      </c>
      <c r="M635" s="4">
        <v>258.0</v>
      </c>
      <c r="N635" s="4">
        <v>1182.0</v>
      </c>
      <c r="O635" s="4">
        <v>2701.0</v>
      </c>
    </row>
    <row r="636">
      <c r="A636" s="4">
        <v>6.290855005E9</v>
      </c>
      <c r="B636" s="5">
        <v>42481.0</v>
      </c>
      <c r="C636" s="4">
        <v>0.0</v>
      </c>
      <c r="D636" s="4">
        <v>0.0</v>
      </c>
      <c r="E636" s="4">
        <v>0.0</v>
      </c>
      <c r="F636" s="4">
        <v>0.0</v>
      </c>
      <c r="G636" s="4">
        <v>0.0</v>
      </c>
      <c r="H636" s="4">
        <v>0.0</v>
      </c>
      <c r="I636" s="4">
        <v>0.0</v>
      </c>
      <c r="J636" s="4">
        <v>0.0</v>
      </c>
      <c r="K636" s="4">
        <v>0.0</v>
      </c>
      <c r="L636" s="4">
        <v>0.0</v>
      </c>
      <c r="M636" s="4">
        <v>0.0</v>
      </c>
      <c r="N636" s="4">
        <v>1440.0</v>
      </c>
      <c r="O636" s="4">
        <v>2060.0</v>
      </c>
    </row>
    <row r="637">
      <c r="A637" s="4">
        <v>6.290855005E9</v>
      </c>
      <c r="B637" s="5">
        <v>42482.0</v>
      </c>
      <c r="C637" s="4">
        <v>6238.0</v>
      </c>
      <c r="D637" s="4">
        <v>4.71999979019165</v>
      </c>
      <c r="E637" s="4">
        <v>4.71999979019165</v>
      </c>
      <c r="F637" s="4">
        <v>0.0</v>
      </c>
      <c r="G637" s="4">
        <v>0.0</v>
      </c>
      <c r="H637" s="4">
        <v>0.0</v>
      </c>
      <c r="I637" s="4">
        <v>4.71999979019165</v>
      </c>
      <c r="J637" s="4">
        <v>0.0</v>
      </c>
      <c r="K637" s="4">
        <v>0.0</v>
      </c>
      <c r="L637" s="4">
        <v>0.0</v>
      </c>
      <c r="M637" s="4">
        <v>302.0</v>
      </c>
      <c r="N637" s="4">
        <v>1138.0</v>
      </c>
      <c r="O637" s="4">
        <v>2796.0</v>
      </c>
    </row>
    <row r="638">
      <c r="A638" s="4">
        <v>6.290855005E9</v>
      </c>
      <c r="B638" s="5">
        <v>42483.0</v>
      </c>
      <c r="C638" s="4">
        <v>0.0</v>
      </c>
      <c r="D638" s="4">
        <v>0.0</v>
      </c>
      <c r="E638" s="4">
        <v>0.0</v>
      </c>
      <c r="F638" s="4">
        <v>0.0</v>
      </c>
      <c r="G638" s="4">
        <v>0.0</v>
      </c>
      <c r="H638" s="4">
        <v>0.0</v>
      </c>
      <c r="I638" s="4">
        <v>0.0</v>
      </c>
      <c r="J638" s="4">
        <v>0.0</v>
      </c>
      <c r="K638" s="4">
        <v>33.0</v>
      </c>
      <c r="L638" s="4">
        <v>0.0</v>
      </c>
      <c r="M638" s="4">
        <v>0.0</v>
      </c>
      <c r="N638" s="4">
        <v>1407.0</v>
      </c>
      <c r="O638" s="4">
        <v>2664.0</v>
      </c>
    </row>
    <row r="639">
      <c r="A639" s="4">
        <v>6.290855005E9</v>
      </c>
      <c r="B639" s="5">
        <v>42484.0</v>
      </c>
      <c r="C639" s="4">
        <v>5896.0</v>
      </c>
      <c r="D639" s="4">
        <v>4.46000003814697</v>
      </c>
      <c r="E639" s="4">
        <v>4.46000003814697</v>
      </c>
      <c r="F639" s="4">
        <v>0.0</v>
      </c>
      <c r="G639" s="4">
        <v>0.0</v>
      </c>
      <c r="H639" s="4">
        <v>0.0</v>
      </c>
      <c r="I639" s="4">
        <v>4.46000003814697</v>
      </c>
      <c r="J639" s="4">
        <v>0.0</v>
      </c>
      <c r="K639" s="4">
        <v>0.0</v>
      </c>
      <c r="L639" s="4">
        <v>0.0</v>
      </c>
      <c r="M639" s="4">
        <v>258.0</v>
      </c>
      <c r="N639" s="4">
        <v>1182.0</v>
      </c>
      <c r="O639" s="4">
        <v>2703.0</v>
      </c>
    </row>
    <row r="640">
      <c r="A640" s="4">
        <v>6.290855005E9</v>
      </c>
      <c r="B640" s="5">
        <v>42485.0</v>
      </c>
      <c r="C640" s="4">
        <v>7802.0</v>
      </c>
      <c r="D640" s="4">
        <v>5.90000009536743</v>
      </c>
      <c r="E640" s="4">
        <v>5.90000009536743</v>
      </c>
      <c r="F640" s="4">
        <v>0.0</v>
      </c>
      <c r="G640" s="4">
        <v>0.680000007152557</v>
      </c>
      <c r="H640" s="4">
        <v>0.180000007152557</v>
      </c>
      <c r="I640" s="4">
        <v>5.03000020980835</v>
      </c>
      <c r="J640" s="4">
        <v>0.00999999977648258</v>
      </c>
      <c r="K640" s="4">
        <v>8.0</v>
      </c>
      <c r="L640" s="4">
        <v>3.0</v>
      </c>
      <c r="M640" s="4">
        <v>249.0</v>
      </c>
      <c r="N640" s="4">
        <v>1180.0</v>
      </c>
      <c r="O640" s="4">
        <v>2771.0</v>
      </c>
    </row>
    <row r="641">
      <c r="A641" s="4">
        <v>6.290855005E9</v>
      </c>
      <c r="B641" s="5">
        <v>42486.0</v>
      </c>
      <c r="C641" s="4">
        <v>0.0</v>
      </c>
      <c r="D641" s="4">
        <v>0.0</v>
      </c>
      <c r="E641" s="4">
        <v>0.0</v>
      </c>
      <c r="F641" s="4">
        <v>0.0</v>
      </c>
      <c r="G641" s="4">
        <v>0.0</v>
      </c>
      <c r="H641" s="4">
        <v>0.0</v>
      </c>
      <c r="I641" s="4">
        <v>0.0</v>
      </c>
      <c r="J641" s="4">
        <v>0.0</v>
      </c>
      <c r="K641" s="4">
        <v>0.0</v>
      </c>
      <c r="L641" s="4">
        <v>0.0</v>
      </c>
      <c r="M641" s="4">
        <v>0.0</v>
      </c>
      <c r="N641" s="4">
        <v>1440.0</v>
      </c>
      <c r="O641" s="4">
        <v>2060.0</v>
      </c>
    </row>
    <row r="642">
      <c r="A642" s="4">
        <v>6.290855005E9</v>
      </c>
      <c r="B642" s="5">
        <v>42487.0</v>
      </c>
      <c r="C642" s="4">
        <v>5565.0</v>
      </c>
      <c r="D642" s="4">
        <v>4.21000003814697</v>
      </c>
      <c r="E642" s="4">
        <v>4.21000003814697</v>
      </c>
      <c r="F642" s="4">
        <v>0.0</v>
      </c>
      <c r="G642" s="4">
        <v>0.0</v>
      </c>
      <c r="H642" s="4">
        <v>0.0</v>
      </c>
      <c r="I642" s="4">
        <v>4.17999982833862</v>
      </c>
      <c r="J642" s="4">
        <v>0.0299999993294477</v>
      </c>
      <c r="K642" s="4">
        <v>0.0</v>
      </c>
      <c r="L642" s="4">
        <v>0.0</v>
      </c>
      <c r="M642" s="4">
        <v>287.0</v>
      </c>
      <c r="N642" s="4">
        <v>1153.0</v>
      </c>
      <c r="O642" s="4">
        <v>2743.0</v>
      </c>
    </row>
    <row r="643">
      <c r="A643" s="4">
        <v>6.290855005E9</v>
      </c>
      <c r="B643" s="5">
        <v>42488.0</v>
      </c>
      <c r="C643" s="4">
        <v>5731.0</v>
      </c>
      <c r="D643" s="4">
        <v>4.32999992370605</v>
      </c>
      <c r="E643" s="4">
        <v>4.32999992370605</v>
      </c>
      <c r="F643" s="4">
        <v>0.0</v>
      </c>
      <c r="G643" s="4">
        <v>0.0</v>
      </c>
      <c r="H643" s="4">
        <v>0.0</v>
      </c>
      <c r="I643" s="4">
        <v>4.32999992370605</v>
      </c>
      <c r="J643" s="4">
        <v>0.0</v>
      </c>
      <c r="K643" s="4">
        <v>0.0</v>
      </c>
      <c r="L643" s="4">
        <v>0.0</v>
      </c>
      <c r="M643" s="4">
        <v>255.0</v>
      </c>
      <c r="N643" s="4">
        <v>1185.0</v>
      </c>
      <c r="O643" s="4">
        <v>2687.0</v>
      </c>
    </row>
    <row r="644">
      <c r="A644" s="4">
        <v>6.290855005E9</v>
      </c>
      <c r="B644" s="5">
        <v>42489.0</v>
      </c>
      <c r="C644" s="4">
        <v>0.0</v>
      </c>
      <c r="D644" s="4">
        <v>0.0</v>
      </c>
      <c r="E644" s="4">
        <v>0.0</v>
      </c>
      <c r="F644" s="4">
        <v>0.0</v>
      </c>
      <c r="G644" s="4">
        <v>0.0</v>
      </c>
      <c r="H644" s="4">
        <v>0.0</v>
      </c>
      <c r="I644" s="4">
        <v>0.0</v>
      </c>
      <c r="J644" s="4">
        <v>0.0</v>
      </c>
      <c r="K644" s="4">
        <v>0.0</v>
      </c>
      <c r="L644" s="4">
        <v>0.0</v>
      </c>
      <c r="M644" s="4">
        <v>0.0</v>
      </c>
      <c r="N644" s="4">
        <v>1440.0</v>
      </c>
      <c r="O644" s="4">
        <v>2060.0</v>
      </c>
    </row>
    <row r="645">
      <c r="A645" s="4">
        <v>6.290855005E9</v>
      </c>
      <c r="B645" s="5">
        <v>42490.0</v>
      </c>
      <c r="C645" s="4">
        <v>6744.0</v>
      </c>
      <c r="D645" s="4">
        <v>5.09999990463257</v>
      </c>
      <c r="E645" s="4">
        <v>5.09999990463257</v>
      </c>
      <c r="F645" s="4">
        <v>0.0</v>
      </c>
      <c r="G645" s="4">
        <v>0.0</v>
      </c>
      <c r="H645" s="4">
        <v>0.0</v>
      </c>
      <c r="I645" s="4">
        <v>5.09000015258789</v>
      </c>
      <c r="J645" s="4">
        <v>0.00999999977648258</v>
      </c>
      <c r="K645" s="4">
        <v>0.0</v>
      </c>
      <c r="L645" s="4">
        <v>0.0</v>
      </c>
      <c r="M645" s="4">
        <v>324.0</v>
      </c>
      <c r="N645" s="4">
        <v>1116.0</v>
      </c>
      <c r="O645" s="4">
        <v>2843.0</v>
      </c>
    </row>
    <row r="646">
      <c r="A646" s="4">
        <v>6.290855005E9</v>
      </c>
      <c r="B646" s="5">
        <v>42491.0</v>
      </c>
      <c r="C646" s="4">
        <v>9837.0</v>
      </c>
      <c r="D646" s="4">
        <v>7.44000005722046</v>
      </c>
      <c r="E646" s="4">
        <v>7.44000005722046</v>
      </c>
      <c r="F646" s="4">
        <v>0.0</v>
      </c>
      <c r="G646" s="4">
        <v>0.660000026226044</v>
      </c>
      <c r="H646" s="4">
        <v>2.75</v>
      </c>
      <c r="I646" s="4">
        <v>4.0</v>
      </c>
      <c r="J646" s="4">
        <v>0.0199999995529652</v>
      </c>
      <c r="K646" s="4">
        <v>8.0</v>
      </c>
      <c r="L646" s="4">
        <v>95.0</v>
      </c>
      <c r="M646" s="4">
        <v>282.0</v>
      </c>
      <c r="N646" s="4">
        <v>1055.0</v>
      </c>
      <c r="O646" s="4">
        <v>3327.0</v>
      </c>
    </row>
    <row r="647">
      <c r="A647" s="4">
        <v>6.290855005E9</v>
      </c>
      <c r="B647" s="5">
        <v>42492.0</v>
      </c>
      <c r="C647" s="4">
        <v>6781.0</v>
      </c>
      <c r="D647" s="4">
        <v>5.13000011444092</v>
      </c>
      <c r="E647" s="4">
        <v>5.13000011444092</v>
      </c>
      <c r="F647" s="4">
        <v>0.0</v>
      </c>
      <c r="G647" s="4">
        <v>0.0</v>
      </c>
      <c r="H647" s="4">
        <v>0.0</v>
      </c>
      <c r="I647" s="4">
        <v>5.1100001335144</v>
      </c>
      <c r="J647" s="4">
        <v>0.0199999995529652</v>
      </c>
      <c r="K647" s="4">
        <v>0.0</v>
      </c>
      <c r="L647" s="4">
        <v>0.0</v>
      </c>
      <c r="M647" s="4">
        <v>268.0</v>
      </c>
      <c r="N647" s="4">
        <v>1172.0</v>
      </c>
      <c r="O647" s="4">
        <v>2725.0</v>
      </c>
    </row>
    <row r="648">
      <c r="A648" s="4">
        <v>6.290855005E9</v>
      </c>
      <c r="B648" s="5">
        <v>42493.0</v>
      </c>
      <c r="C648" s="4">
        <v>6047.0</v>
      </c>
      <c r="D648" s="4">
        <v>4.57000017166138</v>
      </c>
      <c r="E648" s="4">
        <v>4.57000017166138</v>
      </c>
      <c r="F648" s="4">
        <v>0.0</v>
      </c>
      <c r="G648" s="4">
        <v>0.0</v>
      </c>
      <c r="H648" s="4">
        <v>0.0</v>
      </c>
      <c r="I648" s="4">
        <v>4.57000017166138</v>
      </c>
      <c r="J648" s="4">
        <v>0.0</v>
      </c>
      <c r="K648" s="4">
        <v>0.0</v>
      </c>
      <c r="L648" s="4">
        <v>0.0</v>
      </c>
      <c r="M648" s="4">
        <v>240.0</v>
      </c>
      <c r="N648" s="4">
        <v>1200.0</v>
      </c>
      <c r="O648" s="4">
        <v>2671.0</v>
      </c>
    </row>
    <row r="649">
      <c r="A649" s="4">
        <v>6.290855005E9</v>
      </c>
      <c r="B649" s="5">
        <v>42494.0</v>
      </c>
      <c r="C649" s="4">
        <v>5832.0</v>
      </c>
      <c r="D649" s="4">
        <v>4.40999984741211</v>
      </c>
      <c r="E649" s="4">
        <v>4.40999984741211</v>
      </c>
      <c r="F649" s="4">
        <v>0.0</v>
      </c>
      <c r="G649" s="4">
        <v>0.0</v>
      </c>
      <c r="H649" s="4">
        <v>0.0</v>
      </c>
      <c r="I649" s="4">
        <v>4.40000009536743</v>
      </c>
      <c r="J649" s="4">
        <v>0.00999999977648258</v>
      </c>
      <c r="K649" s="4">
        <v>0.0</v>
      </c>
      <c r="L649" s="4">
        <v>0.0</v>
      </c>
      <c r="M649" s="4">
        <v>272.0</v>
      </c>
      <c r="N649" s="4">
        <v>1168.0</v>
      </c>
      <c r="O649" s="4">
        <v>2718.0</v>
      </c>
    </row>
    <row r="650">
      <c r="A650" s="4">
        <v>6.290855005E9</v>
      </c>
      <c r="B650" s="5">
        <v>42495.0</v>
      </c>
      <c r="C650" s="4">
        <v>6339.0</v>
      </c>
      <c r="D650" s="4">
        <v>4.78999996185303</v>
      </c>
      <c r="E650" s="4">
        <v>4.78999996185303</v>
      </c>
      <c r="F650" s="4">
        <v>0.0</v>
      </c>
      <c r="G650" s="4">
        <v>0.0</v>
      </c>
      <c r="H650" s="4">
        <v>0.0</v>
      </c>
      <c r="I650" s="4">
        <v>4.78999996185303</v>
      </c>
      <c r="J650" s="4">
        <v>0.0</v>
      </c>
      <c r="K650" s="4">
        <v>0.0</v>
      </c>
      <c r="L650" s="4">
        <v>0.0</v>
      </c>
      <c r="M650" s="4">
        <v>239.0</v>
      </c>
      <c r="N650" s="4">
        <v>1201.0</v>
      </c>
      <c r="O650" s="4">
        <v>2682.0</v>
      </c>
    </row>
    <row r="651">
      <c r="A651" s="4">
        <v>6.290855005E9</v>
      </c>
      <c r="B651" s="5">
        <v>42496.0</v>
      </c>
      <c r="C651" s="4">
        <v>6116.0</v>
      </c>
      <c r="D651" s="4">
        <v>4.61999988555908</v>
      </c>
      <c r="E651" s="4">
        <v>4.61999988555908</v>
      </c>
      <c r="F651" s="4">
        <v>0.0</v>
      </c>
      <c r="G651" s="4">
        <v>0.0</v>
      </c>
      <c r="H651" s="4">
        <v>0.0</v>
      </c>
      <c r="I651" s="4">
        <v>4.59000015258789</v>
      </c>
      <c r="J651" s="4">
        <v>0.0299999993294477</v>
      </c>
      <c r="K651" s="4">
        <v>0.0</v>
      </c>
      <c r="L651" s="4">
        <v>0.0</v>
      </c>
      <c r="M651" s="4">
        <v>305.0</v>
      </c>
      <c r="N651" s="4">
        <v>1135.0</v>
      </c>
      <c r="O651" s="4">
        <v>2806.0</v>
      </c>
    </row>
    <row r="652">
      <c r="A652" s="4">
        <v>6.290855005E9</v>
      </c>
      <c r="B652" s="5">
        <v>42497.0</v>
      </c>
      <c r="C652" s="4">
        <v>5510.0</v>
      </c>
      <c r="D652" s="4">
        <v>4.17000007629395</v>
      </c>
      <c r="E652" s="4">
        <v>4.17000007629395</v>
      </c>
      <c r="F652" s="4">
        <v>0.0</v>
      </c>
      <c r="G652" s="4">
        <v>0.0</v>
      </c>
      <c r="H652" s="4">
        <v>0.0</v>
      </c>
      <c r="I652" s="4">
        <v>4.15999984741211</v>
      </c>
      <c r="J652" s="4">
        <v>0.0</v>
      </c>
      <c r="K652" s="4">
        <v>0.0</v>
      </c>
      <c r="L652" s="4">
        <v>0.0</v>
      </c>
      <c r="M652" s="4">
        <v>227.0</v>
      </c>
      <c r="N652" s="4">
        <v>1213.0</v>
      </c>
      <c r="O652" s="4">
        <v>2613.0</v>
      </c>
    </row>
    <row r="653">
      <c r="A653" s="4">
        <v>6.290855005E9</v>
      </c>
      <c r="B653" s="5">
        <v>42498.0</v>
      </c>
      <c r="C653" s="4">
        <v>7706.0</v>
      </c>
      <c r="D653" s="4">
        <v>5.82999992370605</v>
      </c>
      <c r="E653" s="4">
        <v>5.82999992370605</v>
      </c>
      <c r="F653" s="4">
        <v>0.0</v>
      </c>
      <c r="G653" s="4">
        <v>0.0</v>
      </c>
      <c r="H653" s="4">
        <v>0.0</v>
      </c>
      <c r="I653" s="4">
        <v>5.82000017166138</v>
      </c>
      <c r="J653" s="4">
        <v>0.0</v>
      </c>
      <c r="K653" s="4">
        <v>0.0</v>
      </c>
      <c r="L653" s="4">
        <v>0.0</v>
      </c>
      <c r="M653" s="4">
        <v>251.0</v>
      </c>
      <c r="N653" s="4">
        <v>1189.0</v>
      </c>
      <c r="O653" s="4">
        <v>2712.0</v>
      </c>
    </row>
    <row r="654">
      <c r="A654" s="4">
        <v>6.290855005E9</v>
      </c>
      <c r="B654" s="5">
        <v>42499.0</v>
      </c>
      <c r="C654" s="4">
        <v>6277.0</v>
      </c>
      <c r="D654" s="4">
        <v>4.75</v>
      </c>
      <c r="E654" s="4">
        <v>4.75</v>
      </c>
      <c r="F654" s="4">
        <v>0.0</v>
      </c>
      <c r="G654" s="4">
        <v>0.0</v>
      </c>
      <c r="H654" s="4">
        <v>0.0</v>
      </c>
      <c r="I654" s="4">
        <v>4.73000001907349</v>
      </c>
      <c r="J654" s="4">
        <v>0.0199999995529652</v>
      </c>
      <c r="K654" s="4">
        <v>0.0</v>
      </c>
      <c r="L654" s="4">
        <v>0.0</v>
      </c>
      <c r="M654" s="4">
        <v>264.0</v>
      </c>
      <c r="N654" s="4">
        <v>800.0</v>
      </c>
      <c r="O654" s="4">
        <v>2175.0</v>
      </c>
    </row>
    <row r="655">
      <c r="A655" s="4">
        <v>6.290855005E9</v>
      </c>
      <c r="B655" s="5">
        <v>42500.0</v>
      </c>
      <c r="C655" s="4">
        <v>0.0</v>
      </c>
      <c r="D655" s="4">
        <v>0.0</v>
      </c>
      <c r="E655" s="4">
        <v>0.0</v>
      </c>
      <c r="F655" s="4">
        <v>0.0</v>
      </c>
      <c r="G655" s="4">
        <v>0.0</v>
      </c>
      <c r="H655" s="4">
        <v>0.0</v>
      </c>
      <c r="I655" s="4">
        <v>0.0</v>
      </c>
      <c r="J655" s="4">
        <v>0.0</v>
      </c>
      <c r="K655" s="4">
        <v>0.0</v>
      </c>
      <c r="L655" s="4">
        <v>0.0</v>
      </c>
      <c r="M655" s="4">
        <v>0.0</v>
      </c>
      <c r="N655" s="4">
        <v>1440.0</v>
      </c>
      <c r="O655" s="4">
        <v>0.0</v>
      </c>
    </row>
    <row r="656">
      <c r="A656" s="4">
        <v>6.775888955E9</v>
      </c>
      <c r="B656" s="5">
        <v>42472.0</v>
      </c>
      <c r="C656" s="4">
        <v>0.0</v>
      </c>
      <c r="D656" s="4">
        <v>0.0</v>
      </c>
      <c r="E656" s="4">
        <v>0.0</v>
      </c>
      <c r="F656" s="4">
        <v>0.0</v>
      </c>
      <c r="G656" s="4">
        <v>0.0</v>
      </c>
      <c r="H656" s="4">
        <v>0.0</v>
      </c>
      <c r="I656" s="4">
        <v>0.0</v>
      </c>
      <c r="J656" s="4">
        <v>0.0</v>
      </c>
      <c r="K656" s="4">
        <v>0.0</v>
      </c>
      <c r="L656" s="4">
        <v>0.0</v>
      </c>
      <c r="M656" s="4">
        <v>0.0</v>
      </c>
      <c r="N656" s="4">
        <v>1440.0</v>
      </c>
      <c r="O656" s="4">
        <v>1841.0</v>
      </c>
    </row>
    <row r="657">
      <c r="A657" s="4">
        <v>6.775888955E9</v>
      </c>
      <c r="B657" s="5">
        <v>42473.0</v>
      </c>
      <c r="C657" s="4">
        <v>4053.0</v>
      </c>
      <c r="D657" s="4">
        <v>2.91000008583069</v>
      </c>
      <c r="E657" s="4">
        <v>2.91000008583069</v>
      </c>
      <c r="F657" s="4">
        <v>0.0</v>
      </c>
      <c r="G657" s="4">
        <v>1.11000001430511</v>
      </c>
      <c r="H657" s="4">
        <v>0.579999983310699</v>
      </c>
      <c r="I657" s="4">
        <v>1.22000002861023</v>
      </c>
      <c r="J657" s="4">
        <v>0.0</v>
      </c>
      <c r="K657" s="4">
        <v>17.0</v>
      </c>
      <c r="L657" s="4">
        <v>18.0</v>
      </c>
      <c r="M657" s="4">
        <v>85.0</v>
      </c>
      <c r="N657" s="4">
        <v>1053.0</v>
      </c>
      <c r="O657" s="4">
        <v>2400.0</v>
      </c>
    </row>
    <row r="658">
      <c r="A658" s="4">
        <v>6.775888955E9</v>
      </c>
      <c r="B658" s="5">
        <v>42474.0</v>
      </c>
      <c r="C658" s="4">
        <v>5162.0</v>
      </c>
      <c r="D658" s="4">
        <v>3.70000004768372</v>
      </c>
      <c r="E658" s="4">
        <v>3.70000004768372</v>
      </c>
      <c r="F658" s="4">
        <v>0.0</v>
      </c>
      <c r="G658" s="4">
        <v>0.870000004768372</v>
      </c>
      <c r="H658" s="4">
        <v>0.860000014305115</v>
      </c>
      <c r="I658" s="4">
        <v>1.97000002861023</v>
      </c>
      <c r="J658" s="4">
        <v>0.0</v>
      </c>
      <c r="K658" s="4">
        <v>14.0</v>
      </c>
      <c r="L658" s="4">
        <v>24.0</v>
      </c>
      <c r="M658" s="4">
        <v>105.0</v>
      </c>
      <c r="N658" s="4">
        <v>863.0</v>
      </c>
      <c r="O658" s="4">
        <v>2507.0</v>
      </c>
    </row>
    <row r="659">
      <c r="A659" s="4">
        <v>6.775888955E9</v>
      </c>
      <c r="B659" s="5">
        <v>42475.0</v>
      </c>
      <c r="C659" s="4">
        <v>1282.0</v>
      </c>
      <c r="D659" s="4">
        <v>0.920000016689301</v>
      </c>
      <c r="E659" s="4">
        <v>0.920000016689301</v>
      </c>
      <c r="F659" s="4">
        <v>0.0</v>
      </c>
      <c r="G659" s="4">
        <v>0.0</v>
      </c>
      <c r="H659" s="4">
        <v>0.0</v>
      </c>
      <c r="I659" s="4">
        <v>0.920000016689301</v>
      </c>
      <c r="J659" s="4">
        <v>0.0</v>
      </c>
      <c r="K659" s="4">
        <v>0.0</v>
      </c>
      <c r="L659" s="4">
        <v>0.0</v>
      </c>
      <c r="M659" s="4">
        <v>58.0</v>
      </c>
      <c r="N659" s="4">
        <v>976.0</v>
      </c>
      <c r="O659" s="4">
        <v>2127.0</v>
      </c>
    </row>
    <row r="660">
      <c r="A660" s="4">
        <v>6.775888955E9</v>
      </c>
      <c r="B660" s="5">
        <v>42476.0</v>
      </c>
      <c r="C660" s="4">
        <v>4732.0</v>
      </c>
      <c r="D660" s="4">
        <v>3.39000010490417</v>
      </c>
      <c r="E660" s="4">
        <v>3.39000010490417</v>
      </c>
      <c r="F660" s="4">
        <v>0.0</v>
      </c>
      <c r="G660" s="4">
        <v>2.51999998092651</v>
      </c>
      <c r="H660" s="4">
        <v>0.810000002384186</v>
      </c>
      <c r="I660" s="4">
        <v>0.0599999986588955</v>
      </c>
      <c r="J660" s="4">
        <v>0.0</v>
      </c>
      <c r="K660" s="4">
        <v>36.0</v>
      </c>
      <c r="L660" s="4">
        <v>18.0</v>
      </c>
      <c r="M660" s="4">
        <v>9.0</v>
      </c>
      <c r="N660" s="4">
        <v>1377.0</v>
      </c>
      <c r="O660" s="4">
        <v>2225.0</v>
      </c>
    </row>
    <row r="661">
      <c r="A661" s="4">
        <v>6.775888955E9</v>
      </c>
      <c r="B661" s="5">
        <v>42477.0</v>
      </c>
      <c r="C661" s="4">
        <v>2497.0</v>
      </c>
      <c r="D661" s="4">
        <v>1.78999996185303</v>
      </c>
      <c r="E661" s="4">
        <v>1.78999996185303</v>
      </c>
      <c r="F661" s="4">
        <v>0.0</v>
      </c>
      <c r="G661" s="4">
        <v>0.349999994039536</v>
      </c>
      <c r="H661" s="4">
        <v>1.12999999523163</v>
      </c>
      <c r="I661" s="4">
        <v>0.310000002384186</v>
      </c>
      <c r="J661" s="4">
        <v>0.0</v>
      </c>
      <c r="K661" s="4">
        <v>5.0</v>
      </c>
      <c r="L661" s="4">
        <v>24.0</v>
      </c>
      <c r="M661" s="4">
        <v>19.0</v>
      </c>
      <c r="N661" s="4">
        <v>1392.0</v>
      </c>
      <c r="O661" s="4">
        <v>2067.0</v>
      </c>
    </row>
    <row r="662">
      <c r="A662" s="4">
        <v>6.775888955E9</v>
      </c>
      <c r="B662" s="5">
        <v>42478.0</v>
      </c>
      <c r="C662" s="4">
        <v>8294.0</v>
      </c>
      <c r="D662" s="4">
        <v>5.94999980926514</v>
      </c>
      <c r="E662" s="4">
        <v>5.94999980926514</v>
      </c>
      <c r="F662" s="4">
        <v>0.0</v>
      </c>
      <c r="G662" s="4">
        <v>2.0</v>
      </c>
      <c r="H662" s="4">
        <v>0.769999980926514</v>
      </c>
      <c r="I662" s="4">
        <v>3.17000007629395</v>
      </c>
      <c r="J662" s="4">
        <v>0.0</v>
      </c>
      <c r="K662" s="4">
        <v>30.0</v>
      </c>
      <c r="L662" s="4">
        <v>31.0</v>
      </c>
      <c r="M662" s="4">
        <v>146.0</v>
      </c>
      <c r="N662" s="4">
        <v>1233.0</v>
      </c>
      <c r="O662" s="4">
        <v>2798.0</v>
      </c>
    </row>
    <row r="663">
      <c r="A663" s="4">
        <v>6.775888955E9</v>
      </c>
      <c r="B663" s="5">
        <v>42479.0</v>
      </c>
      <c r="C663" s="4">
        <v>0.0</v>
      </c>
      <c r="D663" s="4">
        <v>0.0</v>
      </c>
      <c r="E663" s="4">
        <v>0.0</v>
      </c>
      <c r="F663" s="4">
        <v>0.0</v>
      </c>
      <c r="G663" s="4">
        <v>0.0</v>
      </c>
      <c r="H663" s="4">
        <v>0.0</v>
      </c>
      <c r="I663" s="4">
        <v>0.0</v>
      </c>
      <c r="J663" s="4">
        <v>0.0</v>
      </c>
      <c r="K663" s="4">
        <v>0.0</v>
      </c>
      <c r="L663" s="4">
        <v>0.0</v>
      </c>
      <c r="M663" s="4">
        <v>0.0</v>
      </c>
      <c r="N663" s="4">
        <v>1440.0</v>
      </c>
      <c r="O663" s="4">
        <v>1841.0</v>
      </c>
    </row>
    <row r="664">
      <c r="A664" s="4">
        <v>6.775888955E9</v>
      </c>
      <c r="B664" s="5">
        <v>42480.0</v>
      </c>
      <c r="C664" s="4">
        <v>10771.0</v>
      </c>
      <c r="D664" s="4">
        <v>7.71999979019165</v>
      </c>
      <c r="E664" s="4">
        <v>7.71999979019165</v>
      </c>
      <c r="F664" s="4">
        <v>0.0</v>
      </c>
      <c r="G664" s="4">
        <v>3.76999998092651</v>
      </c>
      <c r="H664" s="4">
        <v>1.74000000953674</v>
      </c>
      <c r="I664" s="4">
        <v>2.22000002861023</v>
      </c>
      <c r="J664" s="4">
        <v>0.0</v>
      </c>
      <c r="K664" s="4">
        <v>70.0</v>
      </c>
      <c r="L664" s="4">
        <v>113.0</v>
      </c>
      <c r="M664" s="4">
        <v>178.0</v>
      </c>
      <c r="N664" s="4">
        <v>1079.0</v>
      </c>
      <c r="O664" s="4">
        <v>3727.0</v>
      </c>
    </row>
    <row r="665">
      <c r="A665" s="4">
        <v>6.775888955E9</v>
      </c>
      <c r="B665" s="5">
        <v>42481.0</v>
      </c>
      <c r="C665" s="4">
        <v>0.0</v>
      </c>
      <c r="D665" s="4">
        <v>0.0</v>
      </c>
      <c r="E665" s="4">
        <v>0.0</v>
      </c>
      <c r="F665" s="4">
        <v>0.0</v>
      </c>
      <c r="G665" s="4">
        <v>0.0</v>
      </c>
      <c r="H665" s="4">
        <v>0.0</v>
      </c>
      <c r="I665" s="4">
        <v>0.0</v>
      </c>
      <c r="J665" s="4">
        <v>0.0</v>
      </c>
      <c r="K665" s="4">
        <v>0.0</v>
      </c>
      <c r="L665" s="4">
        <v>0.0</v>
      </c>
      <c r="M665" s="4">
        <v>0.0</v>
      </c>
      <c r="N665" s="4">
        <v>1440.0</v>
      </c>
      <c r="O665" s="4">
        <v>1841.0</v>
      </c>
    </row>
    <row r="666">
      <c r="A666" s="4">
        <v>6.775888955E9</v>
      </c>
      <c r="B666" s="5">
        <v>42482.0</v>
      </c>
      <c r="C666" s="4">
        <v>637.0</v>
      </c>
      <c r="D666" s="4">
        <v>0.46000000834465</v>
      </c>
      <c r="E666" s="4">
        <v>0.46000000834465</v>
      </c>
      <c r="F666" s="4">
        <v>0.0</v>
      </c>
      <c r="G666" s="4">
        <v>0.0</v>
      </c>
      <c r="H666" s="4">
        <v>0.0</v>
      </c>
      <c r="I666" s="4">
        <v>0.46000000834465</v>
      </c>
      <c r="J666" s="4">
        <v>0.0</v>
      </c>
      <c r="K666" s="4">
        <v>0.0</v>
      </c>
      <c r="L666" s="4">
        <v>0.0</v>
      </c>
      <c r="M666" s="4">
        <v>20.0</v>
      </c>
      <c r="N666" s="4">
        <v>1420.0</v>
      </c>
      <c r="O666" s="4">
        <v>1922.0</v>
      </c>
    </row>
    <row r="667">
      <c r="A667" s="4">
        <v>6.775888955E9</v>
      </c>
      <c r="B667" s="5">
        <v>42483.0</v>
      </c>
      <c r="C667" s="4">
        <v>0.0</v>
      </c>
      <c r="D667" s="4">
        <v>0.0</v>
      </c>
      <c r="E667" s="4">
        <v>0.0</v>
      </c>
      <c r="F667" s="4">
        <v>0.0</v>
      </c>
      <c r="G667" s="4">
        <v>0.0</v>
      </c>
      <c r="H667" s="4">
        <v>0.0</v>
      </c>
      <c r="I667" s="4">
        <v>0.0</v>
      </c>
      <c r="J667" s="4">
        <v>0.0</v>
      </c>
      <c r="K667" s="4">
        <v>0.0</v>
      </c>
      <c r="L667" s="4">
        <v>0.0</v>
      </c>
      <c r="M667" s="4">
        <v>0.0</v>
      </c>
      <c r="N667" s="4">
        <v>1440.0</v>
      </c>
      <c r="O667" s="4">
        <v>1841.0</v>
      </c>
    </row>
    <row r="668">
      <c r="A668" s="4">
        <v>6.775888955E9</v>
      </c>
      <c r="B668" s="5">
        <v>42484.0</v>
      </c>
      <c r="C668" s="4">
        <v>2153.0</v>
      </c>
      <c r="D668" s="4">
        <v>1.53999996185303</v>
      </c>
      <c r="E668" s="4">
        <v>1.53999996185303</v>
      </c>
      <c r="F668" s="4">
        <v>0.0</v>
      </c>
      <c r="G668" s="4">
        <v>0.769999980926514</v>
      </c>
      <c r="H668" s="4">
        <v>0.620000004768372</v>
      </c>
      <c r="I668" s="4">
        <v>0.150000005960464</v>
      </c>
      <c r="J668" s="4">
        <v>0.0</v>
      </c>
      <c r="K668" s="4">
        <v>11.0</v>
      </c>
      <c r="L668" s="4">
        <v>18.0</v>
      </c>
      <c r="M668" s="4">
        <v>11.0</v>
      </c>
      <c r="N668" s="4">
        <v>1400.0</v>
      </c>
      <c r="O668" s="4">
        <v>2053.0</v>
      </c>
    </row>
    <row r="669">
      <c r="A669" s="4">
        <v>6.775888955E9</v>
      </c>
      <c r="B669" s="5">
        <v>42485.0</v>
      </c>
      <c r="C669" s="4">
        <v>6474.0</v>
      </c>
      <c r="D669" s="4">
        <v>4.6399998664856</v>
      </c>
      <c r="E669" s="4">
        <v>4.6399998664856</v>
      </c>
      <c r="F669" s="4">
        <v>0.0</v>
      </c>
      <c r="G669" s="4">
        <v>2.26999998092651</v>
      </c>
      <c r="H669" s="4">
        <v>0.46000000834465</v>
      </c>
      <c r="I669" s="4">
        <v>1.89999997615814</v>
      </c>
      <c r="J669" s="4">
        <v>0.0</v>
      </c>
      <c r="K669" s="4">
        <v>33.0</v>
      </c>
      <c r="L669" s="4">
        <v>13.0</v>
      </c>
      <c r="M669" s="4">
        <v>92.0</v>
      </c>
      <c r="N669" s="4">
        <v>1302.0</v>
      </c>
      <c r="O669" s="4">
        <v>2484.0</v>
      </c>
    </row>
    <row r="670">
      <c r="A670" s="4">
        <v>6.775888955E9</v>
      </c>
      <c r="B670" s="5">
        <v>42486.0</v>
      </c>
      <c r="C670" s="4">
        <v>7091.0</v>
      </c>
      <c r="D670" s="4">
        <v>5.26999998092651</v>
      </c>
      <c r="E670" s="4">
        <v>5.26999998092651</v>
      </c>
      <c r="F670" s="4">
        <v>1.95959603786469</v>
      </c>
      <c r="G670" s="4">
        <v>3.48000001907349</v>
      </c>
      <c r="H670" s="4">
        <v>0.870000004768372</v>
      </c>
      <c r="I670" s="4">
        <v>0.730000019073486</v>
      </c>
      <c r="J670" s="4">
        <v>0.0</v>
      </c>
      <c r="K670" s="4">
        <v>42.0</v>
      </c>
      <c r="L670" s="4">
        <v>30.0</v>
      </c>
      <c r="M670" s="4">
        <v>47.0</v>
      </c>
      <c r="N670" s="4">
        <v>1321.0</v>
      </c>
      <c r="O670" s="4">
        <v>2584.0</v>
      </c>
    </row>
    <row r="671">
      <c r="A671" s="4">
        <v>6.775888955E9</v>
      </c>
      <c r="B671" s="5">
        <v>42487.0</v>
      </c>
      <c r="C671" s="4">
        <v>0.0</v>
      </c>
      <c r="D671" s="4">
        <v>0.0</v>
      </c>
      <c r="E671" s="4">
        <v>0.0</v>
      </c>
      <c r="F671" s="4">
        <v>0.0</v>
      </c>
      <c r="G671" s="4">
        <v>0.0</v>
      </c>
      <c r="H671" s="4">
        <v>0.0</v>
      </c>
      <c r="I671" s="4">
        <v>0.0</v>
      </c>
      <c r="J671" s="4">
        <v>0.0</v>
      </c>
      <c r="K671" s="4">
        <v>0.0</v>
      </c>
      <c r="L671" s="4">
        <v>0.0</v>
      </c>
      <c r="M671" s="4">
        <v>0.0</v>
      </c>
      <c r="N671" s="4">
        <v>1440.0</v>
      </c>
      <c r="O671" s="4">
        <v>1841.0</v>
      </c>
    </row>
    <row r="672">
      <c r="A672" s="4">
        <v>6.775888955E9</v>
      </c>
      <c r="B672" s="5">
        <v>42488.0</v>
      </c>
      <c r="C672" s="4">
        <v>703.0</v>
      </c>
      <c r="D672" s="4">
        <v>0.5</v>
      </c>
      <c r="E672" s="4">
        <v>0.5</v>
      </c>
      <c r="F672" s="4">
        <v>0.0</v>
      </c>
      <c r="G672" s="4">
        <v>0.0599999986588955</v>
      </c>
      <c r="H672" s="4">
        <v>0.200000002980232</v>
      </c>
      <c r="I672" s="4">
        <v>0.239999994635582</v>
      </c>
      <c r="J672" s="4">
        <v>0.0</v>
      </c>
      <c r="K672" s="4">
        <v>2.0</v>
      </c>
      <c r="L672" s="4">
        <v>13.0</v>
      </c>
      <c r="M672" s="4">
        <v>15.0</v>
      </c>
      <c r="N672" s="4">
        <v>1410.0</v>
      </c>
      <c r="O672" s="4">
        <v>1993.0</v>
      </c>
    </row>
    <row r="673">
      <c r="A673" s="4">
        <v>6.775888955E9</v>
      </c>
      <c r="B673" s="5">
        <v>42489.0</v>
      </c>
      <c r="C673" s="4">
        <v>0.0</v>
      </c>
      <c r="D673" s="4">
        <v>0.0</v>
      </c>
      <c r="E673" s="4">
        <v>0.0</v>
      </c>
      <c r="F673" s="4">
        <v>0.0</v>
      </c>
      <c r="G673" s="4">
        <v>0.0</v>
      </c>
      <c r="H673" s="4">
        <v>0.0</v>
      </c>
      <c r="I673" s="4">
        <v>0.0</v>
      </c>
      <c r="J673" s="4">
        <v>0.0</v>
      </c>
      <c r="K673" s="4">
        <v>0.0</v>
      </c>
      <c r="L673" s="4">
        <v>0.0</v>
      </c>
      <c r="M673" s="4">
        <v>0.0</v>
      </c>
      <c r="N673" s="4">
        <v>1440.0</v>
      </c>
      <c r="O673" s="4">
        <v>1841.0</v>
      </c>
    </row>
    <row r="674">
      <c r="A674" s="4">
        <v>6.775888955E9</v>
      </c>
      <c r="B674" s="5">
        <v>42490.0</v>
      </c>
      <c r="C674" s="4">
        <v>2503.0</v>
      </c>
      <c r="D674" s="4">
        <v>1.78999996185303</v>
      </c>
      <c r="E674" s="4">
        <v>1.78999996185303</v>
      </c>
      <c r="F674" s="4">
        <v>0.0</v>
      </c>
      <c r="G674" s="4">
        <v>0.159999996423721</v>
      </c>
      <c r="H674" s="4">
        <v>0.159999996423721</v>
      </c>
      <c r="I674" s="4">
        <v>1.48000001907349</v>
      </c>
      <c r="J674" s="4">
        <v>0.0</v>
      </c>
      <c r="K674" s="4">
        <v>3.0</v>
      </c>
      <c r="L674" s="4">
        <v>9.0</v>
      </c>
      <c r="M674" s="4">
        <v>84.0</v>
      </c>
      <c r="N674" s="4">
        <v>1344.0</v>
      </c>
      <c r="O674" s="4">
        <v>2280.0</v>
      </c>
    </row>
    <row r="675">
      <c r="A675" s="4">
        <v>6.775888955E9</v>
      </c>
      <c r="B675" s="5">
        <v>42491.0</v>
      </c>
      <c r="C675" s="4">
        <v>2487.0</v>
      </c>
      <c r="D675" s="4">
        <v>1.77999997138977</v>
      </c>
      <c r="E675" s="4">
        <v>1.77999997138977</v>
      </c>
      <c r="F675" s="4">
        <v>0.0</v>
      </c>
      <c r="G675" s="4">
        <v>0.479999989271164</v>
      </c>
      <c r="H675" s="4">
        <v>0.620000004768372</v>
      </c>
      <c r="I675" s="4">
        <v>0.680000007152557</v>
      </c>
      <c r="J675" s="4">
        <v>0.0</v>
      </c>
      <c r="K675" s="4">
        <v>9.0</v>
      </c>
      <c r="L675" s="4">
        <v>34.0</v>
      </c>
      <c r="M675" s="4">
        <v>50.0</v>
      </c>
      <c r="N675" s="4">
        <v>1347.0</v>
      </c>
      <c r="O675" s="4">
        <v>2319.0</v>
      </c>
    </row>
    <row r="676">
      <c r="A676" s="4">
        <v>6.775888955E9</v>
      </c>
      <c r="B676" s="5">
        <v>42492.0</v>
      </c>
      <c r="C676" s="4">
        <v>0.0</v>
      </c>
      <c r="D676" s="4">
        <v>0.0</v>
      </c>
      <c r="E676" s="4">
        <v>0.0</v>
      </c>
      <c r="F676" s="4">
        <v>0.0</v>
      </c>
      <c r="G676" s="4">
        <v>0.0</v>
      </c>
      <c r="H676" s="4">
        <v>0.0</v>
      </c>
      <c r="I676" s="4">
        <v>0.0</v>
      </c>
      <c r="J676" s="4">
        <v>0.0</v>
      </c>
      <c r="K676" s="4">
        <v>0.0</v>
      </c>
      <c r="L676" s="4">
        <v>0.0</v>
      </c>
      <c r="M676" s="4">
        <v>0.0</v>
      </c>
      <c r="N676" s="4">
        <v>1440.0</v>
      </c>
      <c r="O676" s="4">
        <v>1841.0</v>
      </c>
    </row>
    <row r="677">
      <c r="A677" s="4">
        <v>6.775888955E9</v>
      </c>
      <c r="B677" s="5">
        <v>42493.0</v>
      </c>
      <c r="C677" s="4">
        <v>9.0</v>
      </c>
      <c r="D677" s="4">
        <v>0.00999999977648258</v>
      </c>
      <c r="E677" s="4">
        <v>0.00999999977648258</v>
      </c>
      <c r="F677" s="4">
        <v>0.0</v>
      </c>
      <c r="G677" s="4">
        <v>0.0</v>
      </c>
      <c r="H677" s="4">
        <v>0.0</v>
      </c>
      <c r="I677" s="4">
        <v>0.00999999977648258</v>
      </c>
      <c r="J677" s="4">
        <v>0.0</v>
      </c>
      <c r="K677" s="4">
        <v>0.0</v>
      </c>
      <c r="L677" s="4">
        <v>0.0</v>
      </c>
      <c r="M677" s="4">
        <v>1.0</v>
      </c>
      <c r="N677" s="4">
        <v>1439.0</v>
      </c>
      <c r="O677" s="4">
        <v>1843.0</v>
      </c>
    </row>
    <row r="678">
      <c r="A678" s="4">
        <v>6.775888955E9</v>
      </c>
      <c r="B678" s="5">
        <v>42494.0</v>
      </c>
      <c r="C678" s="4">
        <v>0.0</v>
      </c>
      <c r="D678" s="4">
        <v>0.0</v>
      </c>
      <c r="E678" s="4">
        <v>0.0</v>
      </c>
      <c r="F678" s="4">
        <v>0.0</v>
      </c>
      <c r="G678" s="4">
        <v>0.0</v>
      </c>
      <c r="H678" s="4">
        <v>0.0</v>
      </c>
      <c r="I678" s="4">
        <v>0.0</v>
      </c>
      <c r="J678" s="4">
        <v>0.0</v>
      </c>
      <c r="K678" s="4">
        <v>0.0</v>
      </c>
      <c r="L678" s="4">
        <v>0.0</v>
      </c>
      <c r="M678" s="4">
        <v>0.0</v>
      </c>
      <c r="N678" s="4">
        <v>1440.0</v>
      </c>
      <c r="O678" s="4">
        <v>1841.0</v>
      </c>
    </row>
    <row r="679">
      <c r="A679" s="4">
        <v>6.775888955E9</v>
      </c>
      <c r="B679" s="5">
        <v>42495.0</v>
      </c>
      <c r="C679" s="4">
        <v>0.0</v>
      </c>
      <c r="D679" s="4">
        <v>0.0</v>
      </c>
      <c r="E679" s="4">
        <v>0.0</v>
      </c>
      <c r="F679" s="4">
        <v>0.0</v>
      </c>
      <c r="G679" s="4">
        <v>0.0</v>
      </c>
      <c r="H679" s="4">
        <v>0.0</v>
      </c>
      <c r="I679" s="4">
        <v>0.0</v>
      </c>
      <c r="J679" s="4">
        <v>0.0</v>
      </c>
      <c r="K679" s="4">
        <v>0.0</v>
      </c>
      <c r="L679" s="4">
        <v>0.0</v>
      </c>
      <c r="M679" s="4">
        <v>0.0</v>
      </c>
      <c r="N679" s="4">
        <v>1440.0</v>
      </c>
      <c r="O679" s="4">
        <v>1841.0</v>
      </c>
    </row>
    <row r="680">
      <c r="A680" s="4">
        <v>6.775888955E9</v>
      </c>
      <c r="B680" s="5">
        <v>42496.0</v>
      </c>
      <c r="C680" s="4">
        <v>4697.0</v>
      </c>
      <c r="D680" s="4">
        <v>3.36999988555908</v>
      </c>
      <c r="E680" s="4">
        <v>3.36999988555908</v>
      </c>
      <c r="F680" s="4">
        <v>0.0</v>
      </c>
      <c r="G680" s="4">
        <v>0.469999998807907</v>
      </c>
      <c r="H680" s="4">
        <v>0.930000007152557</v>
      </c>
      <c r="I680" s="4">
        <v>1.92999994754791</v>
      </c>
      <c r="J680" s="4">
        <v>0.0</v>
      </c>
      <c r="K680" s="4">
        <v>12.0</v>
      </c>
      <c r="L680" s="4">
        <v>35.0</v>
      </c>
      <c r="M680" s="4">
        <v>75.0</v>
      </c>
      <c r="N680" s="4">
        <v>1318.0</v>
      </c>
      <c r="O680" s="4">
        <v>2496.0</v>
      </c>
    </row>
    <row r="681">
      <c r="A681" s="4">
        <v>6.775888955E9</v>
      </c>
      <c r="B681" s="5">
        <v>42497.0</v>
      </c>
      <c r="C681" s="4">
        <v>1967.0</v>
      </c>
      <c r="D681" s="4">
        <v>1.4099999666214</v>
      </c>
      <c r="E681" s="4">
        <v>1.4099999666214</v>
      </c>
      <c r="F681" s="4">
        <v>0.0</v>
      </c>
      <c r="G681" s="4">
        <v>0.129999995231628</v>
      </c>
      <c r="H681" s="4">
        <v>0.239999994635582</v>
      </c>
      <c r="I681" s="4">
        <v>1.04999995231628</v>
      </c>
      <c r="J681" s="4">
        <v>0.0</v>
      </c>
      <c r="K681" s="4">
        <v>2.0</v>
      </c>
      <c r="L681" s="4">
        <v>5.0</v>
      </c>
      <c r="M681" s="4">
        <v>49.0</v>
      </c>
      <c r="N681" s="4">
        <v>551.0</v>
      </c>
      <c r="O681" s="4">
        <v>1032.0</v>
      </c>
    </row>
    <row r="682">
      <c r="A682" s="4">
        <v>6.962181067E9</v>
      </c>
      <c r="B682" s="5">
        <v>42472.0</v>
      </c>
      <c r="C682" s="4">
        <v>10199.0</v>
      </c>
      <c r="D682" s="4">
        <v>6.73999977111816</v>
      </c>
      <c r="E682" s="4">
        <v>6.73999977111816</v>
      </c>
      <c r="F682" s="4">
        <v>0.0</v>
      </c>
      <c r="G682" s="4">
        <v>3.40000009536743</v>
      </c>
      <c r="H682" s="4">
        <v>0.829999983310699</v>
      </c>
      <c r="I682" s="4">
        <v>2.50999999046326</v>
      </c>
      <c r="J682" s="4">
        <v>0.0</v>
      </c>
      <c r="K682" s="4">
        <v>50.0</v>
      </c>
      <c r="L682" s="4">
        <v>14.0</v>
      </c>
      <c r="M682" s="4">
        <v>189.0</v>
      </c>
      <c r="N682" s="4">
        <v>796.0</v>
      </c>
      <c r="O682" s="4">
        <v>1994.0</v>
      </c>
    </row>
    <row r="683">
      <c r="A683" s="4">
        <v>6.962181067E9</v>
      </c>
      <c r="B683" s="5">
        <v>42473.0</v>
      </c>
      <c r="C683" s="4">
        <v>5652.0</v>
      </c>
      <c r="D683" s="4">
        <v>3.74000000953674</v>
      </c>
      <c r="E683" s="4">
        <v>3.74000000953674</v>
      </c>
      <c r="F683" s="4">
        <v>0.0</v>
      </c>
      <c r="G683" s="4">
        <v>0.569999992847443</v>
      </c>
      <c r="H683" s="4">
        <v>1.21000003814697</v>
      </c>
      <c r="I683" s="4">
        <v>1.96000003814697</v>
      </c>
      <c r="J683" s="4">
        <v>0.0</v>
      </c>
      <c r="K683" s="4">
        <v>8.0</v>
      </c>
      <c r="L683" s="4">
        <v>24.0</v>
      </c>
      <c r="M683" s="4">
        <v>142.0</v>
      </c>
      <c r="N683" s="4">
        <v>548.0</v>
      </c>
      <c r="O683" s="4">
        <v>1718.0</v>
      </c>
    </row>
    <row r="684">
      <c r="A684" s="4">
        <v>6.962181067E9</v>
      </c>
      <c r="B684" s="5">
        <v>42474.0</v>
      </c>
      <c r="C684" s="4">
        <v>1551.0</v>
      </c>
      <c r="D684" s="4">
        <v>1.02999997138977</v>
      </c>
      <c r="E684" s="4">
        <v>1.02999997138977</v>
      </c>
      <c r="F684" s="4">
        <v>0.0</v>
      </c>
      <c r="G684" s="4">
        <v>0.0</v>
      </c>
      <c r="H684" s="4">
        <v>0.0</v>
      </c>
      <c r="I684" s="4">
        <v>1.02999997138977</v>
      </c>
      <c r="J684" s="4">
        <v>0.0</v>
      </c>
      <c r="K684" s="4">
        <v>0.0</v>
      </c>
      <c r="L684" s="4">
        <v>0.0</v>
      </c>
      <c r="M684" s="4">
        <v>86.0</v>
      </c>
      <c r="N684" s="4">
        <v>862.0</v>
      </c>
      <c r="O684" s="4">
        <v>1466.0</v>
      </c>
    </row>
    <row r="685">
      <c r="A685" s="4">
        <v>6.962181067E9</v>
      </c>
      <c r="B685" s="5">
        <v>42475.0</v>
      </c>
      <c r="C685" s="4">
        <v>5563.0</v>
      </c>
      <c r="D685" s="4">
        <v>3.6800000667572</v>
      </c>
      <c r="E685" s="4">
        <v>3.6800000667572</v>
      </c>
      <c r="F685" s="4">
        <v>0.0</v>
      </c>
      <c r="G685" s="4">
        <v>0.0</v>
      </c>
      <c r="H685" s="4">
        <v>0.0</v>
      </c>
      <c r="I685" s="4">
        <v>3.6800000667572</v>
      </c>
      <c r="J685" s="4">
        <v>0.0</v>
      </c>
      <c r="K685" s="4">
        <v>0.0</v>
      </c>
      <c r="L685" s="4">
        <v>0.0</v>
      </c>
      <c r="M685" s="4">
        <v>217.0</v>
      </c>
      <c r="N685" s="4">
        <v>837.0</v>
      </c>
      <c r="O685" s="4">
        <v>1756.0</v>
      </c>
    </row>
    <row r="686">
      <c r="A686" s="4">
        <v>6.962181067E9</v>
      </c>
      <c r="B686" s="5">
        <v>42476.0</v>
      </c>
      <c r="C686" s="4">
        <v>13217.0</v>
      </c>
      <c r="D686" s="4">
        <v>8.73999977111816</v>
      </c>
      <c r="E686" s="4">
        <v>8.73999977111816</v>
      </c>
      <c r="F686" s="4">
        <v>0.0</v>
      </c>
      <c r="G686" s="4">
        <v>3.66000008583069</v>
      </c>
      <c r="H686" s="4">
        <v>0.189999997615814</v>
      </c>
      <c r="I686" s="4">
        <v>4.88000011444092</v>
      </c>
      <c r="J686" s="4">
        <v>0.0</v>
      </c>
      <c r="K686" s="4">
        <v>50.0</v>
      </c>
      <c r="L686" s="4">
        <v>3.0</v>
      </c>
      <c r="M686" s="4">
        <v>280.0</v>
      </c>
      <c r="N686" s="4">
        <v>741.0</v>
      </c>
      <c r="O686" s="4">
        <v>2173.0</v>
      </c>
    </row>
    <row r="687">
      <c r="A687" s="4">
        <v>6.962181067E9</v>
      </c>
      <c r="B687" s="5">
        <v>42477.0</v>
      </c>
      <c r="C687" s="4">
        <v>10145.0</v>
      </c>
      <c r="D687" s="4">
        <v>6.71000003814697</v>
      </c>
      <c r="E687" s="4">
        <v>6.71000003814697</v>
      </c>
      <c r="F687" s="4">
        <v>0.0</v>
      </c>
      <c r="G687" s="4">
        <v>0.330000013113022</v>
      </c>
      <c r="H687" s="4">
        <v>0.680000007152557</v>
      </c>
      <c r="I687" s="4">
        <v>5.69000005722046</v>
      </c>
      <c r="J687" s="4">
        <v>0.0</v>
      </c>
      <c r="K687" s="4">
        <v>5.0</v>
      </c>
      <c r="L687" s="4">
        <v>13.0</v>
      </c>
      <c r="M687" s="4">
        <v>295.0</v>
      </c>
      <c r="N687" s="4">
        <v>634.0</v>
      </c>
      <c r="O687" s="4">
        <v>2027.0</v>
      </c>
    </row>
    <row r="688">
      <c r="A688" s="4">
        <v>6.962181067E9</v>
      </c>
      <c r="B688" s="5">
        <v>42478.0</v>
      </c>
      <c r="C688" s="4">
        <v>11404.0</v>
      </c>
      <c r="D688" s="4">
        <v>7.53999996185303</v>
      </c>
      <c r="E688" s="4">
        <v>7.53999996185303</v>
      </c>
      <c r="F688" s="4">
        <v>0.0</v>
      </c>
      <c r="G688" s="4">
        <v>0.829999983310699</v>
      </c>
      <c r="H688" s="4">
        <v>2.39000010490417</v>
      </c>
      <c r="I688" s="4">
        <v>4.32000017166138</v>
      </c>
      <c r="J688" s="4">
        <v>0.0</v>
      </c>
      <c r="K688" s="4">
        <v>13.0</v>
      </c>
      <c r="L688" s="4">
        <v>42.0</v>
      </c>
      <c r="M688" s="4">
        <v>238.0</v>
      </c>
      <c r="N688" s="4">
        <v>689.0</v>
      </c>
      <c r="O688" s="4">
        <v>2039.0</v>
      </c>
    </row>
    <row r="689">
      <c r="A689" s="4">
        <v>6.962181067E9</v>
      </c>
      <c r="B689" s="5">
        <v>42479.0</v>
      </c>
      <c r="C689" s="4">
        <v>10742.0</v>
      </c>
      <c r="D689" s="4">
        <v>7.09999990463257</v>
      </c>
      <c r="E689" s="4">
        <v>7.09999990463257</v>
      </c>
      <c r="F689" s="4">
        <v>0.0</v>
      </c>
      <c r="G689" s="4">
        <v>2.09999990463257</v>
      </c>
      <c r="H689" s="4">
        <v>2.13000011444092</v>
      </c>
      <c r="I689" s="4">
        <v>2.86999988555908</v>
      </c>
      <c r="J689" s="4">
        <v>0.0</v>
      </c>
      <c r="K689" s="4">
        <v>35.0</v>
      </c>
      <c r="L689" s="4">
        <v>41.0</v>
      </c>
      <c r="M689" s="4">
        <v>195.0</v>
      </c>
      <c r="N689" s="4">
        <v>659.0</v>
      </c>
      <c r="O689" s="4">
        <v>2046.0</v>
      </c>
    </row>
    <row r="690">
      <c r="A690" s="4">
        <v>6.962181067E9</v>
      </c>
      <c r="B690" s="5">
        <v>42480.0</v>
      </c>
      <c r="C690" s="4">
        <v>13928.0</v>
      </c>
      <c r="D690" s="4">
        <v>9.55000019073486</v>
      </c>
      <c r="E690" s="4">
        <v>9.55000019073486</v>
      </c>
      <c r="F690" s="4">
        <v>0.0</v>
      </c>
      <c r="G690" s="4">
        <v>4.28000020980835</v>
      </c>
      <c r="H690" s="4">
        <v>0.189999997615814</v>
      </c>
      <c r="I690" s="4">
        <v>5.09000015258789</v>
      </c>
      <c r="J690" s="4">
        <v>0.0</v>
      </c>
      <c r="K690" s="4">
        <v>48.0</v>
      </c>
      <c r="L690" s="4">
        <v>4.0</v>
      </c>
      <c r="M690" s="4">
        <v>297.0</v>
      </c>
      <c r="N690" s="4">
        <v>639.0</v>
      </c>
      <c r="O690" s="4">
        <v>2174.0</v>
      </c>
    </row>
    <row r="691">
      <c r="A691" s="4">
        <v>6.962181067E9</v>
      </c>
      <c r="B691" s="5">
        <v>42481.0</v>
      </c>
      <c r="C691" s="4">
        <v>11835.0</v>
      </c>
      <c r="D691" s="4">
        <v>9.71000003814697</v>
      </c>
      <c r="E691" s="4">
        <v>7.88000011444092</v>
      </c>
      <c r="F691" s="4">
        <v>4.08169221878052</v>
      </c>
      <c r="G691" s="4">
        <v>3.99000000953674</v>
      </c>
      <c r="H691" s="4">
        <v>2.09999990463257</v>
      </c>
      <c r="I691" s="4">
        <v>3.50999999046326</v>
      </c>
      <c r="J691" s="4">
        <v>0.109999999403954</v>
      </c>
      <c r="K691" s="4">
        <v>53.0</v>
      </c>
      <c r="L691" s="4">
        <v>27.0</v>
      </c>
      <c r="M691" s="4">
        <v>214.0</v>
      </c>
      <c r="N691" s="4">
        <v>708.0</v>
      </c>
      <c r="O691" s="4">
        <v>2179.0</v>
      </c>
    </row>
    <row r="692">
      <c r="A692" s="4">
        <v>6.962181067E9</v>
      </c>
      <c r="B692" s="5">
        <v>42482.0</v>
      </c>
      <c r="C692" s="4">
        <v>10725.0</v>
      </c>
      <c r="D692" s="4">
        <v>7.09000015258789</v>
      </c>
      <c r="E692" s="4">
        <v>7.09000015258789</v>
      </c>
      <c r="F692" s="4">
        <v>0.0</v>
      </c>
      <c r="G692" s="4">
        <v>1.76999998092651</v>
      </c>
      <c r="H692" s="4">
        <v>1.54999995231628</v>
      </c>
      <c r="I692" s="4">
        <v>3.76999998092651</v>
      </c>
      <c r="J692" s="4">
        <v>0.0</v>
      </c>
      <c r="K692" s="4">
        <v>30.0</v>
      </c>
      <c r="L692" s="4">
        <v>33.0</v>
      </c>
      <c r="M692" s="4">
        <v>240.0</v>
      </c>
      <c r="N692" s="4">
        <v>659.0</v>
      </c>
      <c r="O692" s="4">
        <v>2086.0</v>
      </c>
    </row>
    <row r="693">
      <c r="A693" s="4">
        <v>6.962181067E9</v>
      </c>
      <c r="B693" s="5">
        <v>42483.0</v>
      </c>
      <c r="C693" s="4">
        <v>20031.0</v>
      </c>
      <c r="D693" s="4">
        <v>13.2399997711182</v>
      </c>
      <c r="E693" s="4">
        <v>13.2399997711182</v>
      </c>
      <c r="F693" s="4">
        <v>0.0</v>
      </c>
      <c r="G693" s="4">
        <v>4.19999980926514</v>
      </c>
      <c r="H693" s="4">
        <v>2.0</v>
      </c>
      <c r="I693" s="4">
        <v>7.03999996185303</v>
      </c>
      <c r="J693" s="4">
        <v>0.0</v>
      </c>
      <c r="K693" s="4">
        <v>58.0</v>
      </c>
      <c r="L693" s="4">
        <v>41.0</v>
      </c>
      <c r="M693" s="4">
        <v>347.0</v>
      </c>
      <c r="N693" s="4">
        <v>484.0</v>
      </c>
      <c r="O693" s="4">
        <v>2571.0</v>
      </c>
    </row>
    <row r="694">
      <c r="A694" s="4">
        <v>6.962181067E9</v>
      </c>
      <c r="B694" s="5">
        <v>42484.0</v>
      </c>
      <c r="C694" s="4">
        <v>5029.0</v>
      </c>
      <c r="D694" s="4">
        <v>3.3199999332428</v>
      </c>
      <c r="E694" s="4">
        <v>3.3199999332428</v>
      </c>
      <c r="F694" s="4">
        <v>0.0</v>
      </c>
      <c r="G694" s="4">
        <v>0.0</v>
      </c>
      <c r="H694" s="4">
        <v>0.0</v>
      </c>
      <c r="I694" s="4">
        <v>3.3199999332428</v>
      </c>
      <c r="J694" s="4">
        <v>0.0</v>
      </c>
      <c r="K694" s="4">
        <v>0.0</v>
      </c>
      <c r="L694" s="4">
        <v>0.0</v>
      </c>
      <c r="M694" s="4">
        <v>199.0</v>
      </c>
      <c r="N694" s="4">
        <v>720.0</v>
      </c>
      <c r="O694" s="4">
        <v>1705.0</v>
      </c>
    </row>
    <row r="695">
      <c r="A695" s="4">
        <v>6.962181067E9</v>
      </c>
      <c r="B695" s="5">
        <v>42485.0</v>
      </c>
      <c r="C695" s="4">
        <v>13239.0</v>
      </c>
      <c r="D695" s="4">
        <v>9.27000045776367</v>
      </c>
      <c r="E695" s="4">
        <v>9.07999992370605</v>
      </c>
      <c r="F695" s="4">
        <v>2.78517508506775</v>
      </c>
      <c r="G695" s="4">
        <v>3.01999998092651</v>
      </c>
      <c r="H695" s="4">
        <v>1.67999994754791</v>
      </c>
      <c r="I695" s="4">
        <v>4.46000003814697</v>
      </c>
      <c r="J695" s="4">
        <v>0.100000001490116</v>
      </c>
      <c r="K695" s="4">
        <v>35.0</v>
      </c>
      <c r="L695" s="4">
        <v>31.0</v>
      </c>
      <c r="M695" s="4">
        <v>282.0</v>
      </c>
      <c r="N695" s="4">
        <v>637.0</v>
      </c>
      <c r="O695" s="4">
        <v>2194.0</v>
      </c>
    </row>
    <row r="696">
      <c r="A696" s="4">
        <v>6.962181067E9</v>
      </c>
      <c r="B696" s="5">
        <v>42486.0</v>
      </c>
      <c r="C696" s="4">
        <v>10433.0</v>
      </c>
      <c r="D696" s="4">
        <v>6.90000009536743</v>
      </c>
      <c r="E696" s="4">
        <v>6.90000009536743</v>
      </c>
      <c r="F696" s="4">
        <v>0.0</v>
      </c>
      <c r="G696" s="4">
        <v>2.57999992370605</v>
      </c>
      <c r="H696" s="4">
        <v>0.419999986886978</v>
      </c>
      <c r="I696" s="4">
        <v>3.90000009536743</v>
      </c>
      <c r="J696" s="4">
        <v>0.0</v>
      </c>
      <c r="K696" s="4">
        <v>36.0</v>
      </c>
      <c r="L696" s="4">
        <v>7.0</v>
      </c>
      <c r="M696" s="4">
        <v>254.0</v>
      </c>
      <c r="N696" s="4">
        <v>680.0</v>
      </c>
      <c r="O696" s="4">
        <v>2012.0</v>
      </c>
    </row>
    <row r="697">
      <c r="A697" s="4">
        <v>6.962181067E9</v>
      </c>
      <c r="B697" s="5">
        <v>42487.0</v>
      </c>
      <c r="C697" s="4">
        <v>10320.0</v>
      </c>
      <c r="D697" s="4">
        <v>6.82000017166138</v>
      </c>
      <c r="E697" s="4">
        <v>6.82000017166138</v>
      </c>
      <c r="F697" s="4">
        <v>0.0</v>
      </c>
      <c r="G697" s="4">
        <v>0.550000011920929</v>
      </c>
      <c r="H697" s="4">
        <v>2.01999998092651</v>
      </c>
      <c r="I697" s="4">
        <v>4.25</v>
      </c>
      <c r="J697" s="4">
        <v>0.0</v>
      </c>
      <c r="K697" s="4">
        <v>7.0</v>
      </c>
      <c r="L697" s="4">
        <v>38.0</v>
      </c>
      <c r="M697" s="4">
        <v>279.0</v>
      </c>
      <c r="N697" s="4">
        <v>697.0</v>
      </c>
      <c r="O697" s="4">
        <v>2034.0</v>
      </c>
    </row>
    <row r="698">
      <c r="A698" s="4">
        <v>6.962181067E9</v>
      </c>
      <c r="B698" s="5">
        <v>42488.0</v>
      </c>
      <c r="C698" s="4">
        <v>12627.0</v>
      </c>
      <c r="D698" s="4">
        <v>8.35000038146973</v>
      </c>
      <c r="E698" s="4">
        <v>8.35000038146973</v>
      </c>
      <c r="F698" s="4">
        <v>0.0</v>
      </c>
      <c r="G698" s="4">
        <v>2.50999999046326</v>
      </c>
      <c r="H698" s="4">
        <v>0.239999994635582</v>
      </c>
      <c r="I698" s="4">
        <v>5.59000015258789</v>
      </c>
      <c r="J698" s="4">
        <v>0.0</v>
      </c>
      <c r="K698" s="4">
        <v>38.0</v>
      </c>
      <c r="L698" s="4">
        <v>8.0</v>
      </c>
      <c r="M698" s="4">
        <v>288.0</v>
      </c>
      <c r="N698" s="4">
        <v>621.0</v>
      </c>
      <c r="O698" s="4">
        <v>2182.0</v>
      </c>
    </row>
    <row r="699">
      <c r="A699" s="4">
        <v>6.962181067E9</v>
      </c>
      <c r="B699" s="5">
        <v>42489.0</v>
      </c>
      <c r="C699" s="4">
        <v>10762.0</v>
      </c>
      <c r="D699" s="4">
        <v>7.1100001335144</v>
      </c>
      <c r="E699" s="4">
        <v>7.1100001335144</v>
      </c>
      <c r="F699" s="4">
        <v>0.0</v>
      </c>
      <c r="G699" s="4">
        <v>0.819999992847443</v>
      </c>
      <c r="H699" s="4">
        <v>0.479999989271164</v>
      </c>
      <c r="I699" s="4">
        <v>5.80999994277954</v>
      </c>
      <c r="J699" s="4">
        <v>0.0</v>
      </c>
      <c r="K699" s="4">
        <v>12.0</v>
      </c>
      <c r="L699" s="4">
        <v>15.0</v>
      </c>
      <c r="M699" s="4">
        <v>369.0</v>
      </c>
      <c r="N699" s="4">
        <v>645.0</v>
      </c>
      <c r="O699" s="4">
        <v>2254.0</v>
      </c>
    </row>
    <row r="700">
      <c r="A700" s="4">
        <v>6.962181067E9</v>
      </c>
      <c r="B700" s="5">
        <v>42490.0</v>
      </c>
      <c r="C700" s="4">
        <v>10081.0</v>
      </c>
      <c r="D700" s="4">
        <v>6.65999984741211</v>
      </c>
      <c r="E700" s="4">
        <v>6.65999984741211</v>
      </c>
      <c r="F700" s="4">
        <v>0.0</v>
      </c>
      <c r="G700" s="4">
        <v>2.24000000953674</v>
      </c>
      <c r="H700" s="4">
        <v>0.759999990463257</v>
      </c>
      <c r="I700" s="4">
        <v>3.67000007629395</v>
      </c>
      <c r="J700" s="4">
        <v>0.0</v>
      </c>
      <c r="K700" s="4">
        <v>32.0</v>
      </c>
      <c r="L700" s="4">
        <v>16.0</v>
      </c>
      <c r="M700" s="4">
        <v>237.0</v>
      </c>
      <c r="N700" s="4">
        <v>731.0</v>
      </c>
      <c r="O700" s="4">
        <v>2002.0</v>
      </c>
    </row>
    <row r="701">
      <c r="A701" s="4">
        <v>6.962181067E9</v>
      </c>
      <c r="B701" s="5">
        <v>42491.0</v>
      </c>
      <c r="C701" s="4">
        <v>5454.0</v>
      </c>
      <c r="D701" s="4">
        <v>3.60999989509583</v>
      </c>
      <c r="E701" s="4">
        <v>3.60999989509583</v>
      </c>
      <c r="F701" s="4">
        <v>0.0</v>
      </c>
      <c r="G701" s="4">
        <v>0.0</v>
      </c>
      <c r="H701" s="4">
        <v>0.0</v>
      </c>
      <c r="I701" s="4">
        <v>3.60999989509583</v>
      </c>
      <c r="J701" s="4">
        <v>0.0</v>
      </c>
      <c r="K701" s="4">
        <v>0.0</v>
      </c>
      <c r="L701" s="4">
        <v>0.0</v>
      </c>
      <c r="M701" s="4">
        <v>215.0</v>
      </c>
      <c r="N701" s="4">
        <v>722.0</v>
      </c>
      <c r="O701" s="4">
        <v>1740.0</v>
      </c>
    </row>
    <row r="702">
      <c r="A702" s="4">
        <v>6.962181067E9</v>
      </c>
      <c r="B702" s="5">
        <v>42492.0</v>
      </c>
      <c r="C702" s="4">
        <v>12912.0</v>
      </c>
      <c r="D702" s="4">
        <v>8.53999996185303</v>
      </c>
      <c r="E702" s="4">
        <v>8.53999996185303</v>
      </c>
      <c r="F702" s="4">
        <v>0.0</v>
      </c>
      <c r="G702" s="4">
        <v>1.20000004768372</v>
      </c>
      <c r="H702" s="4">
        <v>2.0</v>
      </c>
      <c r="I702" s="4">
        <v>5.34000015258789</v>
      </c>
      <c r="J702" s="4">
        <v>0.0</v>
      </c>
      <c r="K702" s="4">
        <v>18.0</v>
      </c>
      <c r="L702" s="4">
        <v>39.0</v>
      </c>
      <c r="M702" s="4">
        <v>313.0</v>
      </c>
      <c r="N702" s="4">
        <v>655.0</v>
      </c>
      <c r="O702" s="4">
        <v>2162.0</v>
      </c>
    </row>
    <row r="703">
      <c r="A703" s="4">
        <v>6.962181067E9</v>
      </c>
      <c r="B703" s="5">
        <v>42493.0</v>
      </c>
      <c r="C703" s="4">
        <v>12109.0</v>
      </c>
      <c r="D703" s="4">
        <v>8.11999988555908</v>
      </c>
      <c r="E703" s="4">
        <v>8.11999988555908</v>
      </c>
      <c r="F703" s="4">
        <v>0.0</v>
      </c>
      <c r="G703" s="4">
        <v>1.74000000953674</v>
      </c>
      <c r="H703" s="4">
        <v>2.03999996185303</v>
      </c>
      <c r="I703" s="4">
        <v>4.32999992370605</v>
      </c>
      <c r="J703" s="4">
        <v>0.0</v>
      </c>
      <c r="K703" s="4">
        <v>21.0</v>
      </c>
      <c r="L703" s="4">
        <v>36.0</v>
      </c>
      <c r="M703" s="4">
        <v>267.0</v>
      </c>
      <c r="N703" s="4">
        <v>654.0</v>
      </c>
      <c r="O703" s="4">
        <v>2072.0</v>
      </c>
    </row>
    <row r="704">
      <c r="A704" s="4">
        <v>6.962181067E9</v>
      </c>
      <c r="B704" s="5">
        <v>42494.0</v>
      </c>
      <c r="C704" s="4">
        <v>10147.0</v>
      </c>
      <c r="D704" s="4">
        <v>6.71000003814697</v>
      </c>
      <c r="E704" s="4">
        <v>6.71000003814697</v>
      </c>
      <c r="F704" s="4">
        <v>0.0</v>
      </c>
      <c r="G704" s="4">
        <v>0.469999998807907</v>
      </c>
      <c r="H704" s="4">
        <v>1.67999994754791</v>
      </c>
      <c r="I704" s="4">
        <v>4.55000019073486</v>
      </c>
      <c r="J704" s="4">
        <v>0.0</v>
      </c>
      <c r="K704" s="4">
        <v>15.0</v>
      </c>
      <c r="L704" s="4">
        <v>36.0</v>
      </c>
      <c r="M704" s="4">
        <v>284.0</v>
      </c>
      <c r="N704" s="4">
        <v>683.0</v>
      </c>
      <c r="O704" s="4">
        <v>2086.0</v>
      </c>
    </row>
    <row r="705">
      <c r="A705" s="4">
        <v>6.962181067E9</v>
      </c>
      <c r="B705" s="5">
        <v>42495.0</v>
      </c>
      <c r="C705" s="4">
        <v>10524.0</v>
      </c>
      <c r="D705" s="4">
        <v>6.96000003814697</v>
      </c>
      <c r="E705" s="4">
        <v>6.96000003814697</v>
      </c>
      <c r="F705" s="4">
        <v>0.0</v>
      </c>
      <c r="G705" s="4">
        <v>0.990000009536743</v>
      </c>
      <c r="H705" s="4">
        <v>1.1599999666214</v>
      </c>
      <c r="I705" s="4">
        <v>4.80999994277954</v>
      </c>
      <c r="J705" s="4">
        <v>0.0</v>
      </c>
      <c r="K705" s="4">
        <v>14.0</v>
      </c>
      <c r="L705" s="4">
        <v>22.0</v>
      </c>
      <c r="M705" s="4">
        <v>305.0</v>
      </c>
      <c r="N705" s="4">
        <v>591.0</v>
      </c>
      <c r="O705" s="4">
        <v>2066.0</v>
      </c>
    </row>
    <row r="706">
      <c r="A706" s="4">
        <v>6.962181067E9</v>
      </c>
      <c r="B706" s="5">
        <v>42496.0</v>
      </c>
      <c r="C706" s="4">
        <v>5908.0</v>
      </c>
      <c r="D706" s="4">
        <v>3.91000008583069</v>
      </c>
      <c r="E706" s="4">
        <v>3.91000008583069</v>
      </c>
      <c r="F706" s="4">
        <v>0.0</v>
      </c>
      <c r="G706" s="4">
        <v>0.0</v>
      </c>
      <c r="H706" s="4">
        <v>0.0</v>
      </c>
      <c r="I706" s="4">
        <v>3.91000008583069</v>
      </c>
      <c r="J706" s="4">
        <v>0.0</v>
      </c>
      <c r="K706" s="4">
        <v>0.0</v>
      </c>
      <c r="L706" s="4">
        <v>0.0</v>
      </c>
      <c r="M706" s="4">
        <v>299.0</v>
      </c>
      <c r="N706" s="4">
        <v>717.0</v>
      </c>
      <c r="O706" s="4">
        <v>1850.0</v>
      </c>
    </row>
    <row r="707">
      <c r="A707" s="4">
        <v>6.962181067E9</v>
      </c>
      <c r="B707" s="5">
        <v>42497.0</v>
      </c>
      <c r="C707" s="4">
        <v>6815.0</v>
      </c>
      <c r="D707" s="4">
        <v>4.5</v>
      </c>
      <c r="E707" s="4">
        <v>4.5</v>
      </c>
      <c r="F707" s="4">
        <v>0.0</v>
      </c>
      <c r="G707" s="4">
        <v>0.0</v>
      </c>
      <c r="H707" s="4">
        <v>0.0</v>
      </c>
      <c r="I707" s="4">
        <v>4.5</v>
      </c>
      <c r="J707" s="4">
        <v>0.0</v>
      </c>
      <c r="K707" s="4">
        <v>0.0</v>
      </c>
      <c r="L707" s="4">
        <v>0.0</v>
      </c>
      <c r="M707" s="4">
        <v>328.0</v>
      </c>
      <c r="N707" s="4">
        <v>745.0</v>
      </c>
      <c r="O707" s="4">
        <v>1947.0</v>
      </c>
    </row>
    <row r="708">
      <c r="A708" s="4">
        <v>6.962181067E9</v>
      </c>
      <c r="B708" s="5">
        <v>42498.0</v>
      </c>
      <c r="C708" s="4">
        <v>4188.0</v>
      </c>
      <c r="D708" s="4">
        <v>2.76999998092651</v>
      </c>
      <c r="E708" s="4">
        <v>2.76999998092651</v>
      </c>
      <c r="F708" s="4">
        <v>0.0</v>
      </c>
      <c r="G708" s="4">
        <v>0.0</v>
      </c>
      <c r="H708" s="4">
        <v>0.519999980926514</v>
      </c>
      <c r="I708" s="4">
        <v>2.25</v>
      </c>
      <c r="J708" s="4">
        <v>0.0</v>
      </c>
      <c r="K708" s="4">
        <v>0.0</v>
      </c>
      <c r="L708" s="4">
        <v>14.0</v>
      </c>
      <c r="M708" s="4">
        <v>151.0</v>
      </c>
      <c r="N708" s="4">
        <v>709.0</v>
      </c>
      <c r="O708" s="4">
        <v>1659.0</v>
      </c>
    </row>
    <row r="709">
      <c r="A709" s="4">
        <v>6.962181067E9</v>
      </c>
      <c r="B709" s="5">
        <v>42499.0</v>
      </c>
      <c r="C709" s="4">
        <v>12342.0</v>
      </c>
      <c r="D709" s="4">
        <v>8.72000026702881</v>
      </c>
      <c r="E709" s="4">
        <v>8.68000030517578</v>
      </c>
      <c r="F709" s="4">
        <v>3.16782188415527</v>
      </c>
      <c r="G709" s="4">
        <v>3.90000009536743</v>
      </c>
      <c r="H709" s="4">
        <v>1.17999994754791</v>
      </c>
      <c r="I709" s="4">
        <v>3.65000009536743</v>
      </c>
      <c r="J709" s="4">
        <v>0.0</v>
      </c>
      <c r="K709" s="4">
        <v>43.0</v>
      </c>
      <c r="L709" s="4">
        <v>21.0</v>
      </c>
      <c r="M709" s="4">
        <v>231.0</v>
      </c>
      <c r="N709" s="4">
        <v>607.0</v>
      </c>
      <c r="O709" s="4">
        <v>2105.0</v>
      </c>
    </row>
    <row r="710">
      <c r="A710" s="4">
        <v>6.962181067E9</v>
      </c>
      <c r="B710" s="5">
        <v>42500.0</v>
      </c>
      <c r="C710" s="4">
        <v>15448.0</v>
      </c>
      <c r="D710" s="4">
        <v>10.210000038147</v>
      </c>
      <c r="E710" s="4">
        <v>10.210000038147</v>
      </c>
      <c r="F710" s="4">
        <v>0.0</v>
      </c>
      <c r="G710" s="4">
        <v>3.47000002861023</v>
      </c>
      <c r="H710" s="4">
        <v>1.75</v>
      </c>
      <c r="I710" s="4">
        <v>4.98999977111816</v>
      </c>
      <c r="J710" s="4">
        <v>0.0</v>
      </c>
      <c r="K710" s="4">
        <v>62.0</v>
      </c>
      <c r="L710" s="4">
        <v>34.0</v>
      </c>
      <c r="M710" s="4">
        <v>275.0</v>
      </c>
      <c r="N710" s="4">
        <v>626.0</v>
      </c>
      <c r="O710" s="4">
        <v>2361.0</v>
      </c>
    </row>
    <row r="711">
      <c r="A711" s="4">
        <v>6.962181067E9</v>
      </c>
      <c r="B711" s="5">
        <v>42501.0</v>
      </c>
      <c r="C711" s="4">
        <v>6722.0</v>
      </c>
      <c r="D711" s="4">
        <v>4.44000005722046</v>
      </c>
      <c r="E711" s="4">
        <v>4.44000005722046</v>
      </c>
      <c r="F711" s="4">
        <v>0.0</v>
      </c>
      <c r="G711" s="4">
        <v>1.49000000953674</v>
      </c>
      <c r="H711" s="4">
        <v>0.310000002384186</v>
      </c>
      <c r="I711" s="4">
        <v>2.65000009536743</v>
      </c>
      <c r="J711" s="4">
        <v>0.0</v>
      </c>
      <c r="K711" s="4">
        <v>24.0</v>
      </c>
      <c r="L711" s="4">
        <v>7.0</v>
      </c>
      <c r="M711" s="4">
        <v>199.0</v>
      </c>
      <c r="N711" s="4">
        <v>709.0</v>
      </c>
      <c r="O711" s="4">
        <v>1855.0</v>
      </c>
    </row>
    <row r="712">
      <c r="A712" s="4">
        <v>6.962181067E9</v>
      </c>
      <c r="B712" s="5">
        <v>42502.0</v>
      </c>
      <c r="C712" s="4">
        <v>3587.0</v>
      </c>
      <c r="D712" s="4">
        <v>2.36999988555908</v>
      </c>
      <c r="E712" s="4">
        <v>2.36999988555908</v>
      </c>
      <c r="F712" s="4">
        <v>0.0</v>
      </c>
      <c r="G712" s="4">
        <v>0.0</v>
      </c>
      <c r="H712" s="4">
        <v>0.25</v>
      </c>
      <c r="I712" s="4">
        <v>2.10999989509583</v>
      </c>
      <c r="J712" s="4">
        <v>0.0</v>
      </c>
      <c r="K712" s="4">
        <v>0.0</v>
      </c>
      <c r="L712" s="4">
        <v>8.0</v>
      </c>
      <c r="M712" s="4">
        <v>105.0</v>
      </c>
      <c r="N712" s="4">
        <v>127.0</v>
      </c>
      <c r="O712" s="4">
        <v>928.0</v>
      </c>
    </row>
    <row r="713">
      <c r="A713" s="4">
        <v>7.007744171E9</v>
      </c>
      <c r="B713" s="5">
        <v>42472.0</v>
      </c>
      <c r="C713" s="4">
        <v>14172.0</v>
      </c>
      <c r="D713" s="4">
        <v>10.289999961853</v>
      </c>
      <c r="E713" s="4">
        <v>9.47999954223633</v>
      </c>
      <c r="F713" s="4">
        <v>4.8697829246521</v>
      </c>
      <c r="G713" s="4">
        <v>4.5</v>
      </c>
      <c r="H713" s="4">
        <v>0.379999995231628</v>
      </c>
      <c r="I713" s="4">
        <v>5.40999984741211</v>
      </c>
      <c r="J713" s="4">
        <v>0.0</v>
      </c>
      <c r="K713" s="4">
        <v>53.0</v>
      </c>
      <c r="L713" s="4">
        <v>8.0</v>
      </c>
      <c r="M713" s="4">
        <v>355.0</v>
      </c>
      <c r="N713" s="4">
        <v>1024.0</v>
      </c>
      <c r="O713" s="4">
        <v>2937.0</v>
      </c>
    </row>
    <row r="714">
      <c r="A714" s="4">
        <v>7.007744171E9</v>
      </c>
      <c r="B714" s="5">
        <v>42473.0</v>
      </c>
      <c r="C714" s="4">
        <v>12862.0</v>
      </c>
      <c r="D714" s="4">
        <v>9.64999961853027</v>
      </c>
      <c r="E714" s="4">
        <v>8.60000038146973</v>
      </c>
      <c r="F714" s="4">
        <v>4.8513069152832</v>
      </c>
      <c r="G714" s="4">
        <v>4.6100001335144</v>
      </c>
      <c r="H714" s="4">
        <v>0.560000002384186</v>
      </c>
      <c r="I714" s="4">
        <v>4.48000001907349</v>
      </c>
      <c r="J714" s="4">
        <v>0.0</v>
      </c>
      <c r="K714" s="4">
        <v>56.0</v>
      </c>
      <c r="L714" s="4">
        <v>22.0</v>
      </c>
      <c r="M714" s="4">
        <v>261.0</v>
      </c>
      <c r="N714" s="4">
        <v>1101.0</v>
      </c>
      <c r="O714" s="4">
        <v>2742.0</v>
      </c>
    </row>
    <row r="715">
      <c r="A715" s="4">
        <v>7.007744171E9</v>
      </c>
      <c r="B715" s="5">
        <v>42474.0</v>
      </c>
      <c r="C715" s="4">
        <v>11179.0</v>
      </c>
      <c r="D715" s="4">
        <v>8.23999977111816</v>
      </c>
      <c r="E715" s="4">
        <v>7.48000001907349</v>
      </c>
      <c r="F715" s="4">
        <v>3.28541493415833</v>
      </c>
      <c r="G715" s="4">
        <v>2.95000004768372</v>
      </c>
      <c r="H715" s="4">
        <v>0.340000003576279</v>
      </c>
      <c r="I715" s="4">
        <v>4.96000003814697</v>
      </c>
      <c r="J715" s="4">
        <v>0.0</v>
      </c>
      <c r="K715" s="4">
        <v>34.0</v>
      </c>
      <c r="L715" s="4">
        <v>6.0</v>
      </c>
      <c r="M715" s="4">
        <v>304.0</v>
      </c>
      <c r="N715" s="4">
        <v>1096.0</v>
      </c>
      <c r="O715" s="4">
        <v>2668.0</v>
      </c>
    </row>
    <row r="716">
      <c r="A716" s="4">
        <v>7.007744171E9</v>
      </c>
      <c r="B716" s="5">
        <v>42475.0</v>
      </c>
      <c r="C716" s="4">
        <v>5273.0</v>
      </c>
      <c r="D716" s="4">
        <v>3.52999997138977</v>
      </c>
      <c r="E716" s="4">
        <v>3.52999997138977</v>
      </c>
      <c r="F716" s="4">
        <v>0.0</v>
      </c>
      <c r="G716" s="4">
        <v>0.0</v>
      </c>
      <c r="H716" s="4">
        <v>0.0</v>
      </c>
      <c r="I716" s="4">
        <v>3.52999997138977</v>
      </c>
      <c r="J716" s="4">
        <v>0.0</v>
      </c>
      <c r="K716" s="4">
        <v>0.0</v>
      </c>
      <c r="L716" s="4">
        <v>0.0</v>
      </c>
      <c r="M716" s="4">
        <v>202.0</v>
      </c>
      <c r="N716" s="4">
        <v>1238.0</v>
      </c>
      <c r="O716" s="4">
        <v>2098.0</v>
      </c>
    </row>
    <row r="717">
      <c r="A717" s="4">
        <v>7.007744171E9</v>
      </c>
      <c r="B717" s="5">
        <v>42476.0</v>
      </c>
      <c r="C717" s="4">
        <v>4631.0</v>
      </c>
      <c r="D717" s="4">
        <v>3.09999990463257</v>
      </c>
      <c r="E717" s="4">
        <v>3.09999990463257</v>
      </c>
      <c r="F717" s="4">
        <v>0.0</v>
      </c>
      <c r="G717" s="4">
        <v>0.0</v>
      </c>
      <c r="H717" s="4">
        <v>0.0</v>
      </c>
      <c r="I717" s="4">
        <v>3.09999990463257</v>
      </c>
      <c r="J717" s="4">
        <v>0.0</v>
      </c>
      <c r="K717" s="4">
        <v>0.0</v>
      </c>
      <c r="L717" s="4">
        <v>0.0</v>
      </c>
      <c r="M717" s="4">
        <v>203.0</v>
      </c>
      <c r="N717" s="4">
        <v>1155.0</v>
      </c>
      <c r="O717" s="4">
        <v>2076.0</v>
      </c>
    </row>
    <row r="718">
      <c r="A718" s="4">
        <v>7.007744171E9</v>
      </c>
      <c r="B718" s="5">
        <v>42477.0</v>
      </c>
      <c r="C718" s="4">
        <v>8059.0</v>
      </c>
      <c r="D718" s="4">
        <v>5.3899998664856</v>
      </c>
      <c r="E718" s="4">
        <v>5.3899998664856</v>
      </c>
      <c r="F718" s="4">
        <v>0.0</v>
      </c>
      <c r="G718" s="4">
        <v>0.0</v>
      </c>
      <c r="H718" s="4">
        <v>0.0</v>
      </c>
      <c r="I718" s="4">
        <v>5.3899998664856</v>
      </c>
      <c r="J718" s="4">
        <v>0.0</v>
      </c>
      <c r="K718" s="4">
        <v>0.0</v>
      </c>
      <c r="L718" s="4">
        <v>0.0</v>
      </c>
      <c r="M718" s="4">
        <v>305.0</v>
      </c>
      <c r="N718" s="4">
        <v>1135.0</v>
      </c>
      <c r="O718" s="4">
        <v>2383.0</v>
      </c>
    </row>
    <row r="719">
      <c r="A719" s="4">
        <v>7.007744171E9</v>
      </c>
      <c r="B719" s="5">
        <v>42478.0</v>
      </c>
      <c r="C719" s="4">
        <v>14816.0</v>
      </c>
      <c r="D719" s="4">
        <v>10.9799995422363</v>
      </c>
      <c r="E719" s="4">
        <v>9.90999984741211</v>
      </c>
      <c r="F719" s="4">
        <v>4.93055009841919</v>
      </c>
      <c r="G719" s="4">
        <v>3.78999996185303</v>
      </c>
      <c r="H719" s="4">
        <v>2.11999988555908</v>
      </c>
      <c r="I719" s="4">
        <v>5.05000019073486</v>
      </c>
      <c r="J719" s="4">
        <v>0.0199999995529652</v>
      </c>
      <c r="K719" s="4">
        <v>48.0</v>
      </c>
      <c r="L719" s="4">
        <v>31.0</v>
      </c>
      <c r="M719" s="4">
        <v>284.0</v>
      </c>
      <c r="N719" s="4">
        <v>1077.0</v>
      </c>
      <c r="O719" s="4">
        <v>2832.0</v>
      </c>
    </row>
    <row r="720">
      <c r="A720" s="4">
        <v>7.007744171E9</v>
      </c>
      <c r="B720" s="5">
        <v>42479.0</v>
      </c>
      <c r="C720" s="4">
        <v>14194.0</v>
      </c>
      <c r="D720" s="4">
        <v>10.4799995422363</v>
      </c>
      <c r="E720" s="4">
        <v>9.5</v>
      </c>
      <c r="F720" s="4">
        <v>4.94214200973511</v>
      </c>
      <c r="G720" s="4">
        <v>4.40999984741211</v>
      </c>
      <c r="H720" s="4">
        <v>0.759999990463257</v>
      </c>
      <c r="I720" s="4">
        <v>5.30999994277954</v>
      </c>
      <c r="J720" s="4">
        <v>0.0</v>
      </c>
      <c r="K720" s="4">
        <v>53.0</v>
      </c>
      <c r="L720" s="4">
        <v>17.0</v>
      </c>
      <c r="M720" s="4">
        <v>304.0</v>
      </c>
      <c r="N720" s="4">
        <v>1066.0</v>
      </c>
      <c r="O720" s="4">
        <v>2812.0</v>
      </c>
    </row>
    <row r="721">
      <c r="A721" s="4">
        <v>7.007744171E9</v>
      </c>
      <c r="B721" s="5">
        <v>42480.0</v>
      </c>
      <c r="C721" s="4">
        <v>15566.0</v>
      </c>
      <c r="D721" s="4">
        <v>11.3100004196167</v>
      </c>
      <c r="E721" s="4">
        <v>10.4099998474121</v>
      </c>
      <c r="F721" s="4">
        <v>4.92484092712402</v>
      </c>
      <c r="G721" s="4">
        <v>4.78999996185303</v>
      </c>
      <c r="H721" s="4">
        <v>0.670000016689301</v>
      </c>
      <c r="I721" s="4">
        <v>5.8600001335144</v>
      </c>
      <c r="J721" s="4">
        <v>0.0</v>
      </c>
      <c r="K721" s="4">
        <v>60.0</v>
      </c>
      <c r="L721" s="4">
        <v>33.0</v>
      </c>
      <c r="M721" s="4">
        <v>347.0</v>
      </c>
      <c r="N721" s="4">
        <v>1000.0</v>
      </c>
      <c r="O721" s="4">
        <v>3096.0</v>
      </c>
    </row>
    <row r="722">
      <c r="A722" s="4">
        <v>7.007744171E9</v>
      </c>
      <c r="B722" s="5">
        <v>42481.0</v>
      </c>
      <c r="C722" s="4">
        <v>13744.0</v>
      </c>
      <c r="D722" s="4">
        <v>9.1899995803833</v>
      </c>
      <c r="E722" s="4">
        <v>9.1899995803833</v>
      </c>
      <c r="F722" s="4">
        <v>0.0</v>
      </c>
      <c r="G722" s="4">
        <v>2.15000009536743</v>
      </c>
      <c r="H722" s="4">
        <v>1.87000000476837</v>
      </c>
      <c r="I722" s="4">
        <v>5.17000007629395</v>
      </c>
      <c r="J722" s="4">
        <v>0.0</v>
      </c>
      <c r="K722" s="4">
        <v>30.0</v>
      </c>
      <c r="L722" s="4">
        <v>34.0</v>
      </c>
      <c r="M722" s="4">
        <v>327.0</v>
      </c>
      <c r="N722" s="4">
        <v>1049.0</v>
      </c>
      <c r="O722" s="4">
        <v>2763.0</v>
      </c>
    </row>
    <row r="723">
      <c r="A723" s="4">
        <v>7.007744171E9</v>
      </c>
      <c r="B723" s="5">
        <v>42482.0</v>
      </c>
      <c r="C723" s="4">
        <v>15299.0</v>
      </c>
      <c r="D723" s="4">
        <v>10.2399997711182</v>
      </c>
      <c r="E723" s="4">
        <v>10.2399997711182</v>
      </c>
      <c r="F723" s="4">
        <v>0.0</v>
      </c>
      <c r="G723" s="4">
        <v>4.09999990463257</v>
      </c>
      <c r="H723" s="4">
        <v>1.75999999046326</v>
      </c>
      <c r="I723" s="4">
        <v>4.36999988555908</v>
      </c>
      <c r="J723" s="4">
        <v>0.0</v>
      </c>
      <c r="K723" s="4">
        <v>64.0</v>
      </c>
      <c r="L723" s="4">
        <v>50.0</v>
      </c>
      <c r="M723" s="4">
        <v>261.0</v>
      </c>
      <c r="N723" s="4">
        <v>1065.0</v>
      </c>
      <c r="O723" s="4">
        <v>2889.0</v>
      </c>
    </row>
    <row r="724">
      <c r="A724" s="4">
        <v>7.007744171E9</v>
      </c>
      <c r="B724" s="5">
        <v>42483.0</v>
      </c>
      <c r="C724" s="4">
        <v>8093.0</v>
      </c>
      <c r="D724" s="4">
        <v>5.40999984741211</v>
      </c>
      <c r="E724" s="4">
        <v>5.40999984741211</v>
      </c>
      <c r="F724" s="4">
        <v>0.0</v>
      </c>
      <c r="G724" s="4">
        <v>0.129999995231628</v>
      </c>
      <c r="H724" s="4">
        <v>1.12999999523163</v>
      </c>
      <c r="I724" s="4">
        <v>4.15000009536743</v>
      </c>
      <c r="J724" s="4">
        <v>0.0</v>
      </c>
      <c r="K724" s="4">
        <v>2.0</v>
      </c>
      <c r="L724" s="4">
        <v>25.0</v>
      </c>
      <c r="M724" s="4">
        <v>223.0</v>
      </c>
      <c r="N724" s="4">
        <v>1190.0</v>
      </c>
      <c r="O724" s="4">
        <v>2284.0</v>
      </c>
    </row>
    <row r="725">
      <c r="A725" s="4">
        <v>7.007744171E9</v>
      </c>
      <c r="B725" s="5">
        <v>42484.0</v>
      </c>
      <c r="C725" s="4">
        <v>11085.0</v>
      </c>
      <c r="D725" s="4">
        <v>7.42000007629395</v>
      </c>
      <c r="E725" s="4">
        <v>7.42000007629395</v>
      </c>
      <c r="F725" s="4">
        <v>0.0</v>
      </c>
      <c r="G725" s="4">
        <v>0.0</v>
      </c>
      <c r="H725" s="4">
        <v>0.0</v>
      </c>
      <c r="I725" s="4">
        <v>7.42000007629395</v>
      </c>
      <c r="J725" s="4">
        <v>0.0</v>
      </c>
      <c r="K725" s="4">
        <v>0.0</v>
      </c>
      <c r="L725" s="4">
        <v>0.0</v>
      </c>
      <c r="M725" s="4">
        <v>419.0</v>
      </c>
      <c r="N725" s="4">
        <v>1021.0</v>
      </c>
      <c r="O725" s="4">
        <v>2667.0</v>
      </c>
    </row>
    <row r="726">
      <c r="A726" s="4">
        <v>7.007744171E9</v>
      </c>
      <c r="B726" s="5">
        <v>42485.0</v>
      </c>
      <c r="C726" s="4">
        <v>18229.0</v>
      </c>
      <c r="D726" s="4">
        <v>13.3400001525879</v>
      </c>
      <c r="E726" s="4">
        <v>12.1999998092651</v>
      </c>
      <c r="F726" s="4">
        <v>4.86179208755493</v>
      </c>
      <c r="G726" s="4">
        <v>4.30999994277954</v>
      </c>
      <c r="H726" s="4">
        <v>1.37000000476837</v>
      </c>
      <c r="I726" s="4">
        <v>7.67000007629395</v>
      </c>
      <c r="J726" s="4">
        <v>0.0</v>
      </c>
      <c r="K726" s="4">
        <v>51.0</v>
      </c>
      <c r="L726" s="4">
        <v>24.0</v>
      </c>
      <c r="M726" s="4">
        <v>379.0</v>
      </c>
      <c r="N726" s="4">
        <v>986.0</v>
      </c>
      <c r="O726" s="4">
        <v>3055.0</v>
      </c>
    </row>
    <row r="727">
      <c r="A727" s="4">
        <v>7.007744171E9</v>
      </c>
      <c r="B727" s="5">
        <v>42486.0</v>
      </c>
      <c r="C727" s="4">
        <v>15090.0</v>
      </c>
      <c r="D727" s="4">
        <v>10.1000003814697</v>
      </c>
      <c r="E727" s="4">
        <v>10.1000003814697</v>
      </c>
      <c r="F727" s="4">
        <v>0.0</v>
      </c>
      <c r="G727" s="4">
        <v>0.930000007152557</v>
      </c>
      <c r="H727" s="4">
        <v>0.939999997615814</v>
      </c>
      <c r="I727" s="4">
        <v>8.22999954223633</v>
      </c>
      <c r="J727" s="4">
        <v>0.0</v>
      </c>
      <c r="K727" s="4">
        <v>16.0</v>
      </c>
      <c r="L727" s="4">
        <v>22.0</v>
      </c>
      <c r="M727" s="4">
        <v>424.0</v>
      </c>
      <c r="N727" s="4">
        <v>978.0</v>
      </c>
      <c r="O727" s="4">
        <v>2939.0</v>
      </c>
    </row>
    <row r="728">
      <c r="A728" s="4">
        <v>7.007744171E9</v>
      </c>
      <c r="B728" s="5">
        <v>42487.0</v>
      </c>
      <c r="C728" s="4">
        <v>13541.0</v>
      </c>
      <c r="D728" s="4">
        <v>10.2200002670288</v>
      </c>
      <c r="E728" s="4">
        <v>9.0600004196167</v>
      </c>
      <c r="F728" s="4">
        <v>4.88560485839844</v>
      </c>
      <c r="G728" s="4">
        <v>4.26999998092651</v>
      </c>
      <c r="H728" s="4">
        <v>0.660000026226044</v>
      </c>
      <c r="I728" s="4">
        <v>5.28999996185303</v>
      </c>
      <c r="J728" s="4">
        <v>0.0</v>
      </c>
      <c r="K728" s="4">
        <v>50.0</v>
      </c>
      <c r="L728" s="4">
        <v>12.0</v>
      </c>
      <c r="M728" s="4">
        <v>337.0</v>
      </c>
      <c r="N728" s="4">
        <v>1041.0</v>
      </c>
      <c r="O728" s="4">
        <v>2830.0</v>
      </c>
    </row>
    <row r="729">
      <c r="A729" s="4">
        <v>7.007744171E9</v>
      </c>
      <c r="B729" s="5">
        <v>42488.0</v>
      </c>
      <c r="C729" s="4">
        <v>15128.0</v>
      </c>
      <c r="D729" s="4">
        <v>10.1199998855591</v>
      </c>
      <c r="E729" s="4">
        <v>10.1199998855591</v>
      </c>
      <c r="F729" s="4">
        <v>0.0</v>
      </c>
      <c r="G729" s="4">
        <v>1.0900000333786</v>
      </c>
      <c r="H729" s="4">
        <v>0.769999980926514</v>
      </c>
      <c r="I729" s="4">
        <v>8.26000022888184</v>
      </c>
      <c r="J729" s="4">
        <v>0.0</v>
      </c>
      <c r="K729" s="4">
        <v>16.0</v>
      </c>
      <c r="L729" s="4">
        <v>16.0</v>
      </c>
      <c r="M729" s="4">
        <v>401.0</v>
      </c>
      <c r="N729" s="4">
        <v>1007.0</v>
      </c>
      <c r="O729" s="4">
        <v>2836.0</v>
      </c>
    </row>
    <row r="730">
      <c r="A730" s="4">
        <v>7.007744171E9</v>
      </c>
      <c r="B730" s="5">
        <v>42489.0</v>
      </c>
      <c r="C730" s="4">
        <v>20067.0</v>
      </c>
      <c r="D730" s="4">
        <v>14.3000001907349</v>
      </c>
      <c r="E730" s="4">
        <v>13.4200000762939</v>
      </c>
      <c r="F730" s="4">
        <v>4.91114616394043</v>
      </c>
      <c r="G730" s="4">
        <v>4.30999994277954</v>
      </c>
      <c r="H730" s="4">
        <v>2.04999995231628</v>
      </c>
      <c r="I730" s="4">
        <v>7.94999980926514</v>
      </c>
      <c r="J730" s="4">
        <v>0.0</v>
      </c>
      <c r="K730" s="4">
        <v>55.0</v>
      </c>
      <c r="L730" s="4">
        <v>42.0</v>
      </c>
      <c r="M730" s="4">
        <v>382.0</v>
      </c>
      <c r="N730" s="4">
        <v>961.0</v>
      </c>
      <c r="O730" s="4">
        <v>3180.0</v>
      </c>
    </row>
    <row r="731">
      <c r="A731" s="4">
        <v>7.007744171E9</v>
      </c>
      <c r="B731" s="5">
        <v>42490.0</v>
      </c>
      <c r="C731" s="4">
        <v>3761.0</v>
      </c>
      <c r="D731" s="4">
        <v>2.51999998092651</v>
      </c>
      <c r="E731" s="4">
        <v>2.51999998092651</v>
      </c>
      <c r="F731" s="4">
        <v>0.0</v>
      </c>
      <c r="G731" s="4">
        <v>0.0</v>
      </c>
      <c r="H731" s="4">
        <v>0.0</v>
      </c>
      <c r="I731" s="4">
        <v>2.51999998092651</v>
      </c>
      <c r="J731" s="4">
        <v>0.0</v>
      </c>
      <c r="K731" s="4">
        <v>0.0</v>
      </c>
      <c r="L731" s="4">
        <v>0.0</v>
      </c>
      <c r="M731" s="4">
        <v>200.0</v>
      </c>
      <c r="N731" s="4">
        <v>1240.0</v>
      </c>
      <c r="O731" s="4">
        <v>2051.0</v>
      </c>
    </row>
    <row r="732">
      <c r="A732" s="4">
        <v>7.007744171E9</v>
      </c>
      <c r="B732" s="5">
        <v>42491.0</v>
      </c>
      <c r="C732" s="4">
        <v>5600.0</v>
      </c>
      <c r="D732" s="4">
        <v>3.75</v>
      </c>
      <c r="E732" s="4">
        <v>3.75</v>
      </c>
      <c r="F732" s="4">
        <v>0.0</v>
      </c>
      <c r="G732" s="4">
        <v>0.0</v>
      </c>
      <c r="H732" s="4">
        <v>0.0</v>
      </c>
      <c r="I732" s="4">
        <v>3.75</v>
      </c>
      <c r="J732" s="4">
        <v>0.0</v>
      </c>
      <c r="K732" s="4">
        <v>0.0</v>
      </c>
      <c r="L732" s="4">
        <v>0.0</v>
      </c>
      <c r="M732" s="4">
        <v>237.0</v>
      </c>
      <c r="N732" s="4">
        <v>1142.0</v>
      </c>
      <c r="O732" s="4">
        <v>2225.0</v>
      </c>
    </row>
    <row r="733">
      <c r="A733" s="4">
        <v>7.007744171E9</v>
      </c>
      <c r="B733" s="5">
        <v>42492.0</v>
      </c>
      <c r="C733" s="4">
        <v>13041.0</v>
      </c>
      <c r="D733" s="4">
        <v>9.18000030517578</v>
      </c>
      <c r="E733" s="4">
        <v>8.72000026702881</v>
      </c>
      <c r="F733" s="4">
        <v>2.83232593536377</v>
      </c>
      <c r="G733" s="4">
        <v>4.6399998664856</v>
      </c>
      <c r="H733" s="4">
        <v>0.699999988079071</v>
      </c>
      <c r="I733" s="4">
        <v>3.82999992370605</v>
      </c>
      <c r="J733" s="4">
        <v>0.0</v>
      </c>
      <c r="K733" s="4">
        <v>64.0</v>
      </c>
      <c r="L733" s="4">
        <v>14.0</v>
      </c>
      <c r="M733" s="4">
        <v>250.0</v>
      </c>
      <c r="N733" s="4">
        <v>1112.0</v>
      </c>
      <c r="O733" s="4">
        <v>2642.0</v>
      </c>
    </row>
    <row r="734">
      <c r="A734" s="4">
        <v>7.007744171E9</v>
      </c>
      <c r="B734" s="5">
        <v>42493.0</v>
      </c>
      <c r="C734" s="4">
        <v>14510.0</v>
      </c>
      <c r="D734" s="4">
        <v>10.8699998855591</v>
      </c>
      <c r="E734" s="4">
        <v>9.71000003814697</v>
      </c>
      <c r="F734" s="4">
        <v>4.91236782073975</v>
      </c>
      <c r="G734" s="4">
        <v>4.48000001907349</v>
      </c>
      <c r="H734" s="4">
        <v>1.01999998092651</v>
      </c>
      <c r="I734" s="4">
        <v>5.3600001335144</v>
      </c>
      <c r="J734" s="4">
        <v>0.0</v>
      </c>
      <c r="K734" s="4">
        <v>58.0</v>
      </c>
      <c r="L734" s="4">
        <v>31.0</v>
      </c>
      <c r="M734" s="4">
        <v>330.0</v>
      </c>
      <c r="N734" s="4">
        <v>1021.0</v>
      </c>
      <c r="O734" s="4">
        <v>2976.0</v>
      </c>
    </row>
    <row r="735">
      <c r="A735" s="4">
        <v>7.007744171E9</v>
      </c>
      <c r="B735" s="5">
        <v>42494.0</v>
      </c>
      <c r="C735" s="4">
        <v>0.0</v>
      </c>
      <c r="D735" s="4">
        <v>0.0</v>
      </c>
      <c r="E735" s="4">
        <v>0.0</v>
      </c>
      <c r="F735" s="4">
        <v>0.0</v>
      </c>
      <c r="G735" s="4">
        <v>0.0</v>
      </c>
      <c r="H735" s="4">
        <v>0.0</v>
      </c>
      <c r="I735" s="4">
        <v>0.0</v>
      </c>
      <c r="J735" s="4">
        <v>0.0</v>
      </c>
      <c r="K735" s="4">
        <v>0.0</v>
      </c>
      <c r="L735" s="4">
        <v>0.0</v>
      </c>
      <c r="M735" s="4">
        <v>0.0</v>
      </c>
      <c r="N735" s="4">
        <v>1440.0</v>
      </c>
      <c r="O735" s="4">
        <v>1557.0</v>
      </c>
    </row>
    <row r="736">
      <c r="A736" s="4">
        <v>7.007744171E9</v>
      </c>
      <c r="B736" s="5">
        <v>42495.0</v>
      </c>
      <c r="C736" s="4">
        <v>15010.0</v>
      </c>
      <c r="D736" s="4">
        <v>11.1000003814697</v>
      </c>
      <c r="E736" s="4">
        <v>10.039999961853</v>
      </c>
      <c r="F736" s="4">
        <v>4.8782320022583</v>
      </c>
      <c r="G736" s="4">
        <v>4.32999992370605</v>
      </c>
      <c r="H736" s="4">
        <v>1.28999996185303</v>
      </c>
      <c r="I736" s="4">
        <v>5.48000001907349</v>
      </c>
      <c r="J736" s="4">
        <v>0.0</v>
      </c>
      <c r="K736" s="4">
        <v>53.0</v>
      </c>
      <c r="L736" s="4">
        <v>23.0</v>
      </c>
      <c r="M736" s="4">
        <v>317.0</v>
      </c>
      <c r="N736" s="4">
        <v>1047.0</v>
      </c>
      <c r="O736" s="4">
        <v>2933.0</v>
      </c>
    </row>
    <row r="737">
      <c r="A737" s="4">
        <v>7.007744171E9</v>
      </c>
      <c r="B737" s="5">
        <v>42496.0</v>
      </c>
      <c r="C737" s="4">
        <v>11459.0</v>
      </c>
      <c r="D737" s="4">
        <v>7.67000007629395</v>
      </c>
      <c r="E737" s="4">
        <v>7.67000007629395</v>
      </c>
      <c r="F737" s="4">
        <v>0.0</v>
      </c>
      <c r="G737" s="4">
        <v>3.0</v>
      </c>
      <c r="H737" s="4">
        <v>0.810000002384186</v>
      </c>
      <c r="I737" s="4">
        <v>3.85999989509583</v>
      </c>
      <c r="J737" s="4">
        <v>0.0</v>
      </c>
      <c r="K737" s="4">
        <v>44.0</v>
      </c>
      <c r="L737" s="4">
        <v>13.0</v>
      </c>
      <c r="M737" s="4">
        <v>247.0</v>
      </c>
      <c r="N737" s="4">
        <v>1136.0</v>
      </c>
      <c r="O737" s="4">
        <v>2553.0</v>
      </c>
    </row>
    <row r="738">
      <c r="A738" s="4">
        <v>7.007744171E9</v>
      </c>
      <c r="B738" s="5">
        <v>42497.0</v>
      </c>
      <c r="C738" s="4">
        <v>0.0</v>
      </c>
      <c r="D738" s="4">
        <v>0.0</v>
      </c>
      <c r="E738" s="4">
        <v>0.0</v>
      </c>
      <c r="F738" s="4">
        <v>0.0</v>
      </c>
      <c r="G738" s="4">
        <v>0.0</v>
      </c>
      <c r="H738" s="4">
        <v>0.0</v>
      </c>
      <c r="I738" s="4">
        <v>0.0</v>
      </c>
      <c r="J738" s="4">
        <v>0.0</v>
      </c>
      <c r="K738" s="4">
        <v>0.0</v>
      </c>
      <c r="L738" s="4">
        <v>0.0</v>
      </c>
      <c r="M738" s="4">
        <v>0.0</v>
      </c>
      <c r="N738" s="4">
        <v>111.0</v>
      </c>
      <c r="O738" s="4">
        <v>120.0</v>
      </c>
    </row>
    <row r="739">
      <c r="A739" s="4">
        <v>7.086361926E9</v>
      </c>
      <c r="B739" s="5">
        <v>42472.0</v>
      </c>
      <c r="C739" s="4">
        <v>11317.0</v>
      </c>
      <c r="D739" s="4">
        <v>8.40999984741211</v>
      </c>
      <c r="E739" s="4">
        <v>8.40999984741211</v>
      </c>
      <c r="F739" s="4">
        <v>0.0</v>
      </c>
      <c r="G739" s="4">
        <v>5.26999998092651</v>
      </c>
      <c r="H739" s="4">
        <v>0.150000005960464</v>
      </c>
      <c r="I739" s="4">
        <v>2.97000002861023</v>
      </c>
      <c r="J739" s="4">
        <v>0.0</v>
      </c>
      <c r="K739" s="4">
        <v>59.0</v>
      </c>
      <c r="L739" s="4">
        <v>6.0</v>
      </c>
      <c r="M739" s="4">
        <v>153.0</v>
      </c>
      <c r="N739" s="4">
        <v>745.0</v>
      </c>
      <c r="O739" s="4">
        <v>2772.0</v>
      </c>
    </row>
    <row r="740">
      <c r="A740" s="4">
        <v>7.086361926E9</v>
      </c>
      <c r="B740" s="5">
        <v>42473.0</v>
      </c>
      <c r="C740" s="4">
        <v>5813.0</v>
      </c>
      <c r="D740" s="4">
        <v>3.61999988555908</v>
      </c>
      <c r="E740" s="4">
        <v>3.61999988555908</v>
      </c>
      <c r="F740" s="4">
        <v>0.0</v>
      </c>
      <c r="G740" s="4">
        <v>0.560000002384186</v>
      </c>
      <c r="H740" s="4">
        <v>0.209999993443489</v>
      </c>
      <c r="I740" s="4">
        <v>2.83999991416931</v>
      </c>
      <c r="J740" s="4">
        <v>0.0</v>
      </c>
      <c r="K740" s="4">
        <v>31.0</v>
      </c>
      <c r="L740" s="4">
        <v>26.0</v>
      </c>
      <c r="M740" s="4">
        <v>155.0</v>
      </c>
      <c r="N740" s="4">
        <v>744.0</v>
      </c>
      <c r="O740" s="4">
        <v>2516.0</v>
      </c>
    </row>
    <row r="741">
      <c r="A741" s="4">
        <v>7.086361926E9</v>
      </c>
      <c r="B741" s="5">
        <v>42474.0</v>
      </c>
      <c r="C741" s="4">
        <v>9123.0</v>
      </c>
      <c r="D741" s="4">
        <v>6.11999988555908</v>
      </c>
      <c r="E741" s="4">
        <v>6.11999988555908</v>
      </c>
      <c r="F741" s="4">
        <v>0.0</v>
      </c>
      <c r="G741" s="4">
        <v>2.02999997138977</v>
      </c>
      <c r="H741" s="4">
        <v>0.330000013113022</v>
      </c>
      <c r="I741" s="4">
        <v>3.66000008583069</v>
      </c>
      <c r="J741" s="4">
        <v>0.0</v>
      </c>
      <c r="K741" s="4">
        <v>35.0</v>
      </c>
      <c r="L741" s="4">
        <v>32.0</v>
      </c>
      <c r="M741" s="4">
        <v>189.0</v>
      </c>
      <c r="N741" s="4">
        <v>787.0</v>
      </c>
      <c r="O741" s="4">
        <v>2734.0</v>
      </c>
    </row>
    <row r="742">
      <c r="A742" s="4">
        <v>7.086361926E9</v>
      </c>
      <c r="B742" s="5">
        <v>42475.0</v>
      </c>
      <c r="C742" s="4">
        <v>8585.0</v>
      </c>
      <c r="D742" s="4">
        <v>5.67000007629395</v>
      </c>
      <c r="E742" s="4">
        <v>5.67000007629395</v>
      </c>
      <c r="F742" s="4">
        <v>0.0</v>
      </c>
      <c r="G742" s="4">
        <v>2.03999996185303</v>
      </c>
      <c r="H742" s="4">
        <v>1.11000001430511</v>
      </c>
      <c r="I742" s="4">
        <v>2.52999997138977</v>
      </c>
      <c r="J742" s="4">
        <v>0.0</v>
      </c>
      <c r="K742" s="4">
        <v>30.0</v>
      </c>
      <c r="L742" s="4">
        <v>21.0</v>
      </c>
      <c r="M742" s="4">
        <v>139.0</v>
      </c>
      <c r="N742" s="4">
        <v>864.0</v>
      </c>
      <c r="O742" s="4">
        <v>2395.0</v>
      </c>
    </row>
    <row r="743">
      <c r="A743" s="4">
        <v>7.086361926E9</v>
      </c>
      <c r="B743" s="5">
        <v>42476.0</v>
      </c>
      <c r="C743" s="4">
        <v>31.0</v>
      </c>
      <c r="D743" s="4">
        <v>0.00999999977648258</v>
      </c>
      <c r="E743" s="4">
        <v>0.00999999977648258</v>
      </c>
      <c r="F743" s="4">
        <v>0.0</v>
      </c>
      <c r="G743" s="4">
        <v>0.0</v>
      </c>
      <c r="H743" s="4">
        <v>0.0</v>
      </c>
      <c r="I743" s="4">
        <v>0.00999999977648258</v>
      </c>
      <c r="J743" s="4">
        <v>0.0</v>
      </c>
      <c r="K743" s="4">
        <v>0.0</v>
      </c>
      <c r="L743" s="4">
        <v>0.0</v>
      </c>
      <c r="M743" s="4">
        <v>3.0</v>
      </c>
      <c r="N743" s="4">
        <v>1437.0</v>
      </c>
      <c r="O743" s="4">
        <v>1635.0</v>
      </c>
    </row>
    <row r="744">
      <c r="A744" s="4">
        <v>7.086361926E9</v>
      </c>
      <c r="B744" s="5">
        <v>42477.0</v>
      </c>
      <c r="C744" s="4">
        <v>0.0</v>
      </c>
      <c r="D744" s="4">
        <v>0.0</v>
      </c>
      <c r="E744" s="4">
        <v>0.0</v>
      </c>
      <c r="F744" s="4">
        <v>0.0</v>
      </c>
      <c r="G744" s="4">
        <v>0.0</v>
      </c>
      <c r="H744" s="4">
        <v>0.0</v>
      </c>
      <c r="I744" s="4">
        <v>0.0</v>
      </c>
      <c r="J744" s="4">
        <v>0.0</v>
      </c>
      <c r="K744" s="4">
        <v>0.0</v>
      </c>
      <c r="L744" s="4">
        <v>0.0</v>
      </c>
      <c r="M744" s="4">
        <v>0.0</v>
      </c>
      <c r="N744" s="4">
        <v>1440.0</v>
      </c>
      <c r="O744" s="4">
        <v>1629.0</v>
      </c>
    </row>
    <row r="745">
      <c r="A745" s="4">
        <v>7.086361926E9</v>
      </c>
      <c r="B745" s="5">
        <v>42478.0</v>
      </c>
      <c r="C745" s="4">
        <v>9827.0</v>
      </c>
      <c r="D745" s="4">
        <v>6.71000003814697</v>
      </c>
      <c r="E745" s="4">
        <v>6.71000003814697</v>
      </c>
      <c r="F745" s="4">
        <v>0.0</v>
      </c>
      <c r="G745" s="4">
        <v>3.17000007629395</v>
      </c>
      <c r="H745" s="4">
        <v>1.22000002861023</v>
      </c>
      <c r="I745" s="4">
        <v>2.30999994277954</v>
      </c>
      <c r="J745" s="4">
        <v>0.0</v>
      </c>
      <c r="K745" s="4">
        <v>61.0</v>
      </c>
      <c r="L745" s="4">
        <v>51.0</v>
      </c>
      <c r="M745" s="4">
        <v>114.0</v>
      </c>
      <c r="N745" s="4">
        <v>1136.0</v>
      </c>
      <c r="O745" s="4">
        <v>2743.0</v>
      </c>
    </row>
    <row r="746">
      <c r="A746" s="4">
        <v>7.086361926E9</v>
      </c>
      <c r="B746" s="5">
        <v>42479.0</v>
      </c>
      <c r="C746" s="4">
        <v>10688.0</v>
      </c>
      <c r="D746" s="4">
        <v>7.28999996185303</v>
      </c>
      <c r="E746" s="4">
        <v>7.28999996185303</v>
      </c>
      <c r="F746" s="4">
        <v>0.0</v>
      </c>
      <c r="G746" s="4">
        <v>3.52999997138977</v>
      </c>
      <c r="H746" s="4">
        <v>1.23000001907349</v>
      </c>
      <c r="I746" s="4">
        <v>2.50999999046326</v>
      </c>
      <c r="J746" s="4">
        <v>0.0</v>
      </c>
      <c r="K746" s="4">
        <v>67.0</v>
      </c>
      <c r="L746" s="4">
        <v>69.0</v>
      </c>
      <c r="M746" s="4">
        <v>124.0</v>
      </c>
      <c r="N746" s="4">
        <v>671.0</v>
      </c>
      <c r="O746" s="4">
        <v>2944.0</v>
      </c>
    </row>
    <row r="747">
      <c r="A747" s="4">
        <v>7.086361926E9</v>
      </c>
      <c r="B747" s="5">
        <v>42480.0</v>
      </c>
      <c r="C747" s="4">
        <v>14365.0</v>
      </c>
      <c r="D747" s="4">
        <v>10.6400003433228</v>
      </c>
      <c r="E747" s="4">
        <v>10.6400003433228</v>
      </c>
      <c r="F747" s="4">
        <v>0.0</v>
      </c>
      <c r="G747" s="4">
        <v>7.6399998664856</v>
      </c>
      <c r="H747" s="4">
        <v>0.449999988079071</v>
      </c>
      <c r="I747" s="4">
        <v>2.53999996185303</v>
      </c>
      <c r="J747" s="4">
        <v>0.0</v>
      </c>
      <c r="K747" s="4">
        <v>87.0</v>
      </c>
      <c r="L747" s="4">
        <v>13.0</v>
      </c>
      <c r="M747" s="4">
        <v>145.0</v>
      </c>
      <c r="N747" s="4">
        <v>797.0</v>
      </c>
      <c r="O747" s="4">
        <v>2997.0</v>
      </c>
    </row>
    <row r="748">
      <c r="A748" s="4">
        <v>7.086361926E9</v>
      </c>
      <c r="B748" s="5">
        <v>42481.0</v>
      </c>
      <c r="C748" s="4">
        <v>9469.0</v>
      </c>
      <c r="D748" s="4">
        <v>6.17999982833862</v>
      </c>
      <c r="E748" s="4">
        <v>6.17999982833862</v>
      </c>
      <c r="F748" s="4">
        <v>0.0</v>
      </c>
      <c r="G748" s="4">
        <v>1.36000001430511</v>
      </c>
      <c r="H748" s="4">
        <v>0.300000011920929</v>
      </c>
      <c r="I748" s="4">
        <v>4.51000022888184</v>
      </c>
      <c r="J748" s="4">
        <v>0.0</v>
      </c>
      <c r="K748" s="4">
        <v>19.0</v>
      </c>
      <c r="L748" s="4">
        <v>6.0</v>
      </c>
      <c r="M748" s="4">
        <v>206.0</v>
      </c>
      <c r="N748" s="4">
        <v>758.0</v>
      </c>
      <c r="O748" s="4">
        <v>2463.0</v>
      </c>
    </row>
    <row r="749">
      <c r="A749" s="4">
        <v>7.086361926E9</v>
      </c>
      <c r="B749" s="5">
        <v>42482.0</v>
      </c>
      <c r="C749" s="4">
        <v>9753.0</v>
      </c>
      <c r="D749" s="4">
        <v>6.53000020980835</v>
      </c>
      <c r="E749" s="4">
        <v>6.53000020980835</v>
      </c>
      <c r="F749" s="4">
        <v>0.0</v>
      </c>
      <c r="G749" s="4">
        <v>2.86999988555908</v>
      </c>
      <c r="H749" s="4">
        <v>0.970000028610229</v>
      </c>
      <c r="I749" s="4">
        <v>2.67000007629395</v>
      </c>
      <c r="J749" s="4">
        <v>0.0</v>
      </c>
      <c r="K749" s="4">
        <v>58.0</v>
      </c>
      <c r="L749" s="4">
        <v>59.0</v>
      </c>
      <c r="M749" s="4">
        <v>153.0</v>
      </c>
      <c r="N749" s="4">
        <v>762.0</v>
      </c>
      <c r="O749" s="4">
        <v>2846.0</v>
      </c>
    </row>
    <row r="750">
      <c r="A750" s="4">
        <v>7.086361926E9</v>
      </c>
      <c r="B750" s="5">
        <v>42483.0</v>
      </c>
      <c r="C750" s="4">
        <v>2817.0</v>
      </c>
      <c r="D750" s="4">
        <v>1.80999994277954</v>
      </c>
      <c r="E750" s="4">
        <v>1.80999994277954</v>
      </c>
      <c r="F750" s="4">
        <v>0.0</v>
      </c>
      <c r="G750" s="4">
        <v>0.0</v>
      </c>
      <c r="H750" s="4">
        <v>0.0</v>
      </c>
      <c r="I750" s="4">
        <v>1.79999995231628</v>
      </c>
      <c r="J750" s="4">
        <v>0.0</v>
      </c>
      <c r="K750" s="4">
        <v>0.0</v>
      </c>
      <c r="L750" s="4">
        <v>0.0</v>
      </c>
      <c r="M750" s="4">
        <v>90.0</v>
      </c>
      <c r="N750" s="4">
        <v>1350.0</v>
      </c>
      <c r="O750" s="4">
        <v>1965.0</v>
      </c>
    </row>
    <row r="751">
      <c r="A751" s="4">
        <v>7.086361926E9</v>
      </c>
      <c r="B751" s="5">
        <v>42484.0</v>
      </c>
      <c r="C751" s="4">
        <v>3520.0</v>
      </c>
      <c r="D751" s="4">
        <v>2.16000008583069</v>
      </c>
      <c r="E751" s="4">
        <v>2.16000008583069</v>
      </c>
      <c r="F751" s="4">
        <v>0.0</v>
      </c>
      <c r="G751" s="4">
        <v>0.0</v>
      </c>
      <c r="H751" s="4">
        <v>0.0</v>
      </c>
      <c r="I751" s="4">
        <v>2.15000009536743</v>
      </c>
      <c r="J751" s="4">
        <v>0.0</v>
      </c>
      <c r="K751" s="4">
        <v>0.0</v>
      </c>
      <c r="L751" s="4">
        <v>0.0</v>
      </c>
      <c r="M751" s="4">
        <v>125.0</v>
      </c>
      <c r="N751" s="4">
        <v>566.0</v>
      </c>
      <c r="O751" s="4">
        <v>2049.0</v>
      </c>
    </row>
    <row r="752">
      <c r="A752" s="4">
        <v>7.086361926E9</v>
      </c>
      <c r="B752" s="5">
        <v>42485.0</v>
      </c>
      <c r="C752" s="4">
        <v>10091.0</v>
      </c>
      <c r="D752" s="4">
        <v>6.82000017166138</v>
      </c>
      <c r="E752" s="4">
        <v>6.82000017166138</v>
      </c>
      <c r="F752" s="4">
        <v>0.0</v>
      </c>
      <c r="G752" s="4">
        <v>3.75</v>
      </c>
      <c r="H752" s="4">
        <v>0.699999988079071</v>
      </c>
      <c r="I752" s="4">
        <v>2.36999988555908</v>
      </c>
      <c r="J752" s="4">
        <v>0.0</v>
      </c>
      <c r="K752" s="4">
        <v>69.0</v>
      </c>
      <c r="L752" s="4">
        <v>39.0</v>
      </c>
      <c r="M752" s="4">
        <v>129.0</v>
      </c>
      <c r="N752" s="4">
        <v>706.0</v>
      </c>
      <c r="O752" s="4">
        <v>2752.0</v>
      </c>
    </row>
    <row r="753">
      <c r="A753" s="4">
        <v>7.086361926E9</v>
      </c>
      <c r="B753" s="5">
        <v>42486.0</v>
      </c>
      <c r="C753" s="4">
        <v>10387.0</v>
      </c>
      <c r="D753" s="4">
        <v>7.07000017166138</v>
      </c>
      <c r="E753" s="4">
        <v>7.07000017166138</v>
      </c>
      <c r="F753" s="4">
        <v>0.0</v>
      </c>
      <c r="G753" s="4">
        <v>4.15999984741211</v>
      </c>
      <c r="H753" s="4">
        <v>0.769999980926514</v>
      </c>
      <c r="I753" s="4">
        <v>2.11999988555908</v>
      </c>
      <c r="J753" s="4">
        <v>0.0</v>
      </c>
      <c r="K753" s="4">
        <v>70.0</v>
      </c>
      <c r="L753" s="4">
        <v>33.0</v>
      </c>
      <c r="M753" s="4">
        <v>132.0</v>
      </c>
      <c r="N753" s="4">
        <v>726.0</v>
      </c>
      <c r="O753" s="4">
        <v>2781.0</v>
      </c>
    </row>
    <row r="754">
      <c r="A754" s="4">
        <v>7.086361926E9</v>
      </c>
      <c r="B754" s="5">
        <v>42487.0</v>
      </c>
      <c r="C754" s="4">
        <v>11107.0</v>
      </c>
      <c r="D754" s="4">
        <v>8.34000015258789</v>
      </c>
      <c r="E754" s="4">
        <v>8.34000015258789</v>
      </c>
      <c r="F754" s="4">
        <v>0.0</v>
      </c>
      <c r="G754" s="4">
        <v>5.63000011444092</v>
      </c>
      <c r="H754" s="4">
        <v>0.180000007152557</v>
      </c>
      <c r="I754" s="4">
        <v>2.52999997138977</v>
      </c>
      <c r="J754" s="4">
        <v>0.0</v>
      </c>
      <c r="K754" s="4">
        <v>55.0</v>
      </c>
      <c r="L754" s="4">
        <v>6.0</v>
      </c>
      <c r="M754" s="4">
        <v>145.0</v>
      </c>
      <c r="N754" s="4">
        <v>829.0</v>
      </c>
      <c r="O754" s="4">
        <v>2693.0</v>
      </c>
    </row>
    <row r="755">
      <c r="A755" s="4">
        <v>7.086361926E9</v>
      </c>
      <c r="B755" s="5">
        <v>42488.0</v>
      </c>
      <c r="C755" s="4">
        <v>11584.0</v>
      </c>
      <c r="D755" s="4">
        <v>7.80000019073486</v>
      </c>
      <c r="E755" s="4">
        <v>7.80000019073486</v>
      </c>
      <c r="F755" s="4">
        <v>0.0</v>
      </c>
      <c r="G755" s="4">
        <v>2.78999996185303</v>
      </c>
      <c r="H755" s="4">
        <v>1.63999998569489</v>
      </c>
      <c r="I755" s="4">
        <v>3.35999989509583</v>
      </c>
      <c r="J755" s="4">
        <v>0.0</v>
      </c>
      <c r="K755" s="4">
        <v>54.0</v>
      </c>
      <c r="L755" s="4">
        <v>48.0</v>
      </c>
      <c r="M755" s="4">
        <v>161.0</v>
      </c>
      <c r="N755" s="4">
        <v>810.0</v>
      </c>
      <c r="O755" s="4">
        <v>2862.0</v>
      </c>
    </row>
    <row r="756">
      <c r="A756" s="4">
        <v>7.086361926E9</v>
      </c>
      <c r="B756" s="5">
        <v>42489.0</v>
      </c>
      <c r="C756" s="4">
        <v>7881.0</v>
      </c>
      <c r="D756" s="4">
        <v>4.94999980926514</v>
      </c>
      <c r="E756" s="4">
        <v>4.94999980926514</v>
      </c>
      <c r="F756" s="4">
        <v>0.0</v>
      </c>
      <c r="G756" s="4">
        <v>0.490000009536743</v>
      </c>
      <c r="H756" s="4">
        <v>0.449999988079071</v>
      </c>
      <c r="I756" s="4">
        <v>4.0</v>
      </c>
      <c r="J756" s="4">
        <v>0.0</v>
      </c>
      <c r="K756" s="4">
        <v>24.0</v>
      </c>
      <c r="L756" s="4">
        <v>36.0</v>
      </c>
      <c r="M756" s="4">
        <v>182.0</v>
      </c>
      <c r="N756" s="4">
        <v>1198.0</v>
      </c>
      <c r="O756" s="4">
        <v>2616.0</v>
      </c>
    </row>
    <row r="757">
      <c r="A757" s="4">
        <v>7.086361926E9</v>
      </c>
      <c r="B757" s="5">
        <v>42490.0</v>
      </c>
      <c r="C757" s="4">
        <v>14560.0</v>
      </c>
      <c r="D757" s="4">
        <v>9.40999984741211</v>
      </c>
      <c r="E757" s="4">
        <v>9.40999984741211</v>
      </c>
      <c r="F757" s="4">
        <v>0.0</v>
      </c>
      <c r="G757" s="4">
        <v>3.11999988555908</v>
      </c>
      <c r="H757" s="4">
        <v>1.03999996185303</v>
      </c>
      <c r="I757" s="4">
        <v>5.23999977111816</v>
      </c>
      <c r="J757" s="4">
        <v>0.0</v>
      </c>
      <c r="K757" s="4">
        <v>42.0</v>
      </c>
      <c r="L757" s="4">
        <v>17.0</v>
      </c>
      <c r="M757" s="4">
        <v>308.0</v>
      </c>
      <c r="N757" s="4">
        <v>584.0</v>
      </c>
      <c r="O757" s="4">
        <v>2995.0</v>
      </c>
    </row>
    <row r="758">
      <c r="A758" s="4">
        <v>7.086361926E9</v>
      </c>
      <c r="B758" s="5">
        <v>42491.0</v>
      </c>
      <c r="C758" s="4">
        <v>12390.0</v>
      </c>
      <c r="D758" s="4">
        <v>8.06999969482422</v>
      </c>
      <c r="E758" s="4">
        <v>8.06999969482422</v>
      </c>
      <c r="F758" s="4">
        <v>0.0</v>
      </c>
      <c r="G758" s="4">
        <v>2.29999995231628</v>
      </c>
      <c r="H758" s="4">
        <v>0.899999976158142</v>
      </c>
      <c r="I758" s="4">
        <v>4.84999990463257</v>
      </c>
      <c r="J758" s="4">
        <v>0.0</v>
      </c>
      <c r="K758" s="4">
        <v>30.0</v>
      </c>
      <c r="L758" s="4">
        <v>15.0</v>
      </c>
      <c r="M758" s="4">
        <v>258.0</v>
      </c>
      <c r="N758" s="4">
        <v>685.0</v>
      </c>
      <c r="O758" s="4">
        <v>2730.0</v>
      </c>
    </row>
    <row r="759">
      <c r="A759" s="4">
        <v>7.086361926E9</v>
      </c>
      <c r="B759" s="5">
        <v>42492.0</v>
      </c>
      <c r="C759" s="4">
        <v>10052.0</v>
      </c>
      <c r="D759" s="4">
        <v>6.80999994277954</v>
      </c>
      <c r="E759" s="4">
        <v>6.80999994277954</v>
      </c>
      <c r="F759" s="4">
        <v>0.0</v>
      </c>
      <c r="G759" s="4">
        <v>3.48000001907349</v>
      </c>
      <c r="H759" s="4">
        <v>0.660000026226044</v>
      </c>
      <c r="I759" s="4">
        <v>2.66000008583069</v>
      </c>
      <c r="J759" s="4">
        <v>0.0</v>
      </c>
      <c r="K759" s="4">
        <v>66.0</v>
      </c>
      <c r="L759" s="4">
        <v>26.0</v>
      </c>
      <c r="M759" s="4">
        <v>139.0</v>
      </c>
      <c r="N759" s="4">
        <v>737.0</v>
      </c>
      <c r="O759" s="4">
        <v>2754.0</v>
      </c>
    </row>
    <row r="760">
      <c r="A760" s="4">
        <v>7.086361926E9</v>
      </c>
      <c r="B760" s="5">
        <v>42493.0</v>
      </c>
      <c r="C760" s="4">
        <v>10288.0</v>
      </c>
      <c r="D760" s="4">
        <v>6.76000022888184</v>
      </c>
      <c r="E760" s="4">
        <v>6.76000022888184</v>
      </c>
      <c r="F760" s="4">
        <v>0.0</v>
      </c>
      <c r="G760" s="4">
        <v>2.74000000953674</v>
      </c>
      <c r="H760" s="4">
        <v>0.850000023841858</v>
      </c>
      <c r="I760" s="4">
        <v>3.16000008583069</v>
      </c>
      <c r="J760" s="4">
        <v>0.0</v>
      </c>
      <c r="K760" s="4">
        <v>57.0</v>
      </c>
      <c r="L760" s="4">
        <v>36.0</v>
      </c>
      <c r="M760" s="4">
        <v>152.0</v>
      </c>
      <c r="N760" s="4">
        <v>761.0</v>
      </c>
      <c r="O760" s="4">
        <v>2754.0</v>
      </c>
    </row>
    <row r="761">
      <c r="A761" s="4">
        <v>7.086361926E9</v>
      </c>
      <c r="B761" s="5">
        <v>42494.0</v>
      </c>
      <c r="C761" s="4">
        <v>10988.0</v>
      </c>
      <c r="D761" s="4">
        <v>8.3100004196167</v>
      </c>
      <c r="E761" s="4">
        <v>8.3100004196167</v>
      </c>
      <c r="F761" s="4">
        <v>0.0</v>
      </c>
      <c r="G761" s="4">
        <v>5.28000020980835</v>
      </c>
      <c r="H761" s="4">
        <v>0.119999997317791</v>
      </c>
      <c r="I761" s="4">
        <v>2.90000009536743</v>
      </c>
      <c r="J761" s="4">
        <v>0.0</v>
      </c>
      <c r="K761" s="4">
        <v>45.0</v>
      </c>
      <c r="L761" s="4">
        <v>12.0</v>
      </c>
      <c r="M761" s="4">
        <v>135.0</v>
      </c>
      <c r="N761" s="4">
        <v>843.0</v>
      </c>
      <c r="O761" s="4">
        <v>2655.0</v>
      </c>
    </row>
    <row r="762">
      <c r="A762" s="4">
        <v>7.086361926E9</v>
      </c>
      <c r="B762" s="5">
        <v>42495.0</v>
      </c>
      <c r="C762" s="4">
        <v>8564.0</v>
      </c>
      <c r="D762" s="4">
        <v>5.59999990463257</v>
      </c>
      <c r="E762" s="4">
        <v>5.59999990463257</v>
      </c>
      <c r="F762" s="4">
        <v>0.0</v>
      </c>
      <c r="G762" s="4">
        <v>1.77999997138977</v>
      </c>
      <c r="H762" s="4">
        <v>0.829999983310699</v>
      </c>
      <c r="I762" s="4">
        <v>2.95000004768372</v>
      </c>
      <c r="J762" s="4">
        <v>0.0</v>
      </c>
      <c r="K762" s="4">
        <v>24.0</v>
      </c>
      <c r="L762" s="4">
        <v>14.0</v>
      </c>
      <c r="M762" s="4">
        <v>149.0</v>
      </c>
      <c r="N762" s="4">
        <v>1253.0</v>
      </c>
      <c r="O762" s="4">
        <v>2386.0</v>
      </c>
    </row>
    <row r="763">
      <c r="A763" s="4">
        <v>7.086361926E9</v>
      </c>
      <c r="B763" s="5">
        <v>42496.0</v>
      </c>
      <c r="C763" s="4">
        <v>12461.0</v>
      </c>
      <c r="D763" s="4">
        <v>8.38000011444092</v>
      </c>
      <c r="E763" s="4">
        <v>8.38000011444092</v>
      </c>
      <c r="F763" s="4">
        <v>0.0</v>
      </c>
      <c r="G763" s="4">
        <v>3.8199999332428</v>
      </c>
      <c r="H763" s="4">
        <v>1.42999994754791</v>
      </c>
      <c r="I763" s="4">
        <v>3.11999988555908</v>
      </c>
      <c r="J763" s="4">
        <v>0.0</v>
      </c>
      <c r="K763" s="4">
        <v>84.0</v>
      </c>
      <c r="L763" s="4">
        <v>35.0</v>
      </c>
      <c r="M763" s="4">
        <v>154.0</v>
      </c>
      <c r="N763" s="4">
        <v>834.0</v>
      </c>
      <c r="O763" s="4">
        <v>2924.0</v>
      </c>
    </row>
    <row r="764">
      <c r="A764" s="4">
        <v>7.086361926E9</v>
      </c>
      <c r="B764" s="5">
        <v>42497.0</v>
      </c>
      <c r="C764" s="4">
        <v>12827.0</v>
      </c>
      <c r="D764" s="4">
        <v>8.47999954223633</v>
      </c>
      <c r="E764" s="4">
        <v>8.47999954223633</v>
      </c>
      <c r="F764" s="4">
        <v>0.0</v>
      </c>
      <c r="G764" s="4">
        <v>1.46000003814697</v>
      </c>
      <c r="H764" s="4">
        <v>2.32999992370605</v>
      </c>
      <c r="I764" s="4">
        <v>4.67999982833862</v>
      </c>
      <c r="J764" s="4">
        <v>0.0</v>
      </c>
      <c r="K764" s="4">
        <v>20.0</v>
      </c>
      <c r="L764" s="4">
        <v>42.0</v>
      </c>
      <c r="M764" s="4">
        <v>209.0</v>
      </c>
      <c r="N764" s="4">
        <v>621.0</v>
      </c>
      <c r="O764" s="4">
        <v>2739.0</v>
      </c>
    </row>
    <row r="765">
      <c r="A765" s="4">
        <v>7.086361926E9</v>
      </c>
      <c r="B765" s="5">
        <v>42498.0</v>
      </c>
      <c r="C765" s="4">
        <v>10677.0</v>
      </c>
      <c r="D765" s="4">
        <v>7.09999990463257</v>
      </c>
      <c r="E765" s="4">
        <v>7.09999990463257</v>
      </c>
      <c r="F765" s="4">
        <v>0.0</v>
      </c>
      <c r="G765" s="4">
        <v>2.30999994277954</v>
      </c>
      <c r="H765" s="4">
        <v>1.52999997138977</v>
      </c>
      <c r="I765" s="4">
        <v>3.25</v>
      </c>
      <c r="J765" s="4">
        <v>0.0</v>
      </c>
      <c r="K765" s="4">
        <v>32.0</v>
      </c>
      <c r="L765" s="4">
        <v>27.0</v>
      </c>
      <c r="M765" s="4">
        <v>147.0</v>
      </c>
      <c r="N765" s="4">
        <v>695.0</v>
      </c>
      <c r="O765" s="4">
        <v>2534.0</v>
      </c>
    </row>
    <row r="766">
      <c r="A766" s="4">
        <v>7.086361926E9</v>
      </c>
      <c r="B766" s="5">
        <v>42499.0</v>
      </c>
      <c r="C766" s="4">
        <v>13566.0</v>
      </c>
      <c r="D766" s="4">
        <v>9.10999965667725</v>
      </c>
      <c r="E766" s="4">
        <v>9.10999965667725</v>
      </c>
      <c r="F766" s="4">
        <v>0.0</v>
      </c>
      <c r="G766" s="4">
        <v>4.26000022888184</v>
      </c>
      <c r="H766" s="4">
        <v>1.71000003814697</v>
      </c>
      <c r="I766" s="4">
        <v>3.11999988555908</v>
      </c>
      <c r="J766" s="4">
        <v>0.0</v>
      </c>
      <c r="K766" s="4">
        <v>67.0</v>
      </c>
      <c r="L766" s="4">
        <v>50.0</v>
      </c>
      <c r="M766" s="4">
        <v>171.0</v>
      </c>
      <c r="N766" s="4">
        <v>743.0</v>
      </c>
      <c r="O766" s="4">
        <v>2960.0</v>
      </c>
    </row>
    <row r="767">
      <c r="A767" s="4">
        <v>7.086361926E9</v>
      </c>
      <c r="B767" s="5">
        <v>42500.0</v>
      </c>
      <c r="C767" s="4">
        <v>14433.0</v>
      </c>
      <c r="D767" s="4">
        <v>10.789999961853</v>
      </c>
      <c r="E767" s="4">
        <v>10.789999961853</v>
      </c>
      <c r="F767" s="4">
        <v>0.0</v>
      </c>
      <c r="G767" s="4">
        <v>7.1100001335144</v>
      </c>
      <c r="H767" s="4">
        <v>1.20000004768372</v>
      </c>
      <c r="I767" s="4">
        <v>2.45000004768372</v>
      </c>
      <c r="J767" s="4">
        <v>0.0</v>
      </c>
      <c r="K767" s="4">
        <v>72.0</v>
      </c>
      <c r="L767" s="4">
        <v>23.0</v>
      </c>
      <c r="M767" s="4">
        <v>106.0</v>
      </c>
      <c r="N767" s="4">
        <v>1182.0</v>
      </c>
      <c r="O767" s="4">
        <v>2800.0</v>
      </c>
    </row>
    <row r="768">
      <c r="A768" s="4">
        <v>7.086361926E9</v>
      </c>
      <c r="B768" s="5">
        <v>42501.0</v>
      </c>
      <c r="C768" s="4">
        <v>9572.0</v>
      </c>
      <c r="D768" s="4">
        <v>6.51999998092651</v>
      </c>
      <c r="E768" s="4">
        <v>6.51999998092651</v>
      </c>
      <c r="F768" s="4">
        <v>0.0</v>
      </c>
      <c r="G768" s="4">
        <v>2.89000010490417</v>
      </c>
      <c r="H768" s="4">
        <v>1.38999998569489</v>
      </c>
      <c r="I768" s="4">
        <v>2.23000001907349</v>
      </c>
      <c r="J768" s="4">
        <v>0.0</v>
      </c>
      <c r="K768" s="4">
        <v>57.0</v>
      </c>
      <c r="L768" s="4">
        <v>40.0</v>
      </c>
      <c r="M768" s="4">
        <v>128.0</v>
      </c>
      <c r="N768" s="4">
        <v>757.0</v>
      </c>
      <c r="O768" s="4">
        <v>2735.0</v>
      </c>
    </row>
    <row r="769">
      <c r="A769" s="4">
        <v>7.086361926E9</v>
      </c>
      <c r="B769" s="5">
        <v>42502.0</v>
      </c>
      <c r="C769" s="4">
        <v>3789.0</v>
      </c>
      <c r="D769" s="4">
        <v>2.55999994277954</v>
      </c>
      <c r="E769" s="4">
        <v>2.55999994277954</v>
      </c>
      <c r="F769" s="4">
        <v>0.0</v>
      </c>
      <c r="G769" s="4">
        <v>0.379999995231628</v>
      </c>
      <c r="H769" s="4">
        <v>0.270000010728836</v>
      </c>
      <c r="I769" s="4">
        <v>1.88999998569489</v>
      </c>
      <c r="J769" s="4">
        <v>0.0</v>
      </c>
      <c r="K769" s="4">
        <v>5.0</v>
      </c>
      <c r="L769" s="4">
        <v>4.0</v>
      </c>
      <c r="M769" s="4">
        <v>58.0</v>
      </c>
      <c r="N769" s="4">
        <v>343.0</v>
      </c>
      <c r="O769" s="4">
        <v>1199.0</v>
      </c>
    </row>
    <row r="770">
      <c r="A770" s="4">
        <v>8.053475328E9</v>
      </c>
      <c r="B770" s="5">
        <v>42472.0</v>
      </c>
      <c r="C770" s="4">
        <v>18060.0</v>
      </c>
      <c r="D770" s="4">
        <v>14.1199998855591</v>
      </c>
      <c r="E770" s="4">
        <v>14.1199998855591</v>
      </c>
      <c r="F770" s="4">
        <v>0.0</v>
      </c>
      <c r="G770" s="4">
        <v>11.6400003433228</v>
      </c>
      <c r="H770" s="4">
        <v>0.389999985694885</v>
      </c>
      <c r="I770" s="4">
        <v>2.09999990463257</v>
      </c>
      <c r="J770" s="4">
        <v>0.0</v>
      </c>
      <c r="K770" s="4">
        <v>116.0</v>
      </c>
      <c r="L770" s="4">
        <v>8.0</v>
      </c>
      <c r="M770" s="4">
        <v>123.0</v>
      </c>
      <c r="N770" s="4">
        <v>1193.0</v>
      </c>
      <c r="O770" s="4">
        <v>3186.0</v>
      </c>
    </row>
    <row r="771">
      <c r="A771" s="4">
        <v>8.053475328E9</v>
      </c>
      <c r="B771" s="5">
        <v>42473.0</v>
      </c>
      <c r="C771" s="4">
        <v>16433.0</v>
      </c>
      <c r="D771" s="4">
        <v>13.3500003814697</v>
      </c>
      <c r="E771" s="4">
        <v>13.3500003814697</v>
      </c>
      <c r="F771" s="4">
        <v>0.0</v>
      </c>
      <c r="G771" s="4">
        <v>10.4300003051758</v>
      </c>
      <c r="H771" s="4">
        <v>0.469999998807907</v>
      </c>
      <c r="I771" s="4">
        <v>2.45000004768372</v>
      </c>
      <c r="J771" s="4">
        <v>0.0</v>
      </c>
      <c r="K771" s="4">
        <v>95.0</v>
      </c>
      <c r="L771" s="4">
        <v>12.0</v>
      </c>
      <c r="M771" s="4">
        <v>156.0</v>
      </c>
      <c r="N771" s="4">
        <v>1177.0</v>
      </c>
      <c r="O771" s="4">
        <v>3140.0</v>
      </c>
    </row>
    <row r="772">
      <c r="A772" s="4">
        <v>8.053475328E9</v>
      </c>
      <c r="B772" s="5">
        <v>42474.0</v>
      </c>
      <c r="C772" s="4">
        <v>20159.0</v>
      </c>
      <c r="D772" s="4">
        <v>15.9700002670288</v>
      </c>
      <c r="E772" s="4">
        <v>15.9700002670288</v>
      </c>
      <c r="F772" s="4">
        <v>0.0</v>
      </c>
      <c r="G772" s="4">
        <v>12.3400001525879</v>
      </c>
      <c r="H772" s="4">
        <v>0.209999993443489</v>
      </c>
      <c r="I772" s="4">
        <v>3.35999989509583</v>
      </c>
      <c r="J772" s="4">
        <v>0.0</v>
      </c>
      <c r="K772" s="4">
        <v>119.0</v>
      </c>
      <c r="L772" s="4">
        <v>5.0</v>
      </c>
      <c r="M772" s="4">
        <v>193.0</v>
      </c>
      <c r="N772" s="4">
        <v>1123.0</v>
      </c>
      <c r="O772" s="4">
        <v>3411.0</v>
      </c>
    </row>
    <row r="773">
      <c r="A773" s="4">
        <v>8.053475328E9</v>
      </c>
      <c r="B773" s="5">
        <v>42475.0</v>
      </c>
      <c r="C773" s="4">
        <v>20669.0</v>
      </c>
      <c r="D773" s="4">
        <v>16.2399997711182</v>
      </c>
      <c r="E773" s="4">
        <v>16.2399997711182</v>
      </c>
      <c r="F773" s="4">
        <v>0.0</v>
      </c>
      <c r="G773" s="4">
        <v>13.2600002288818</v>
      </c>
      <c r="H773" s="4">
        <v>0.389999985694885</v>
      </c>
      <c r="I773" s="4">
        <v>2.58999991416931</v>
      </c>
      <c r="J773" s="4">
        <v>0.0</v>
      </c>
      <c r="K773" s="4">
        <v>132.0</v>
      </c>
      <c r="L773" s="4">
        <v>8.0</v>
      </c>
      <c r="M773" s="4">
        <v>158.0</v>
      </c>
      <c r="N773" s="4">
        <v>1142.0</v>
      </c>
      <c r="O773" s="4">
        <v>3410.0</v>
      </c>
    </row>
    <row r="774">
      <c r="A774" s="4">
        <v>8.053475328E9</v>
      </c>
      <c r="B774" s="5">
        <v>42476.0</v>
      </c>
      <c r="C774" s="4">
        <v>14549.0</v>
      </c>
      <c r="D774" s="4">
        <v>11.1099996566772</v>
      </c>
      <c r="E774" s="4">
        <v>11.1099996566772</v>
      </c>
      <c r="F774" s="4">
        <v>0.0</v>
      </c>
      <c r="G774" s="4">
        <v>9.35999965667725</v>
      </c>
      <c r="H774" s="4">
        <v>0.270000010728836</v>
      </c>
      <c r="I774" s="4">
        <v>1.49000000953674</v>
      </c>
      <c r="J774" s="4">
        <v>0.0</v>
      </c>
      <c r="K774" s="4">
        <v>96.0</v>
      </c>
      <c r="L774" s="4">
        <v>6.0</v>
      </c>
      <c r="M774" s="4">
        <v>83.0</v>
      </c>
      <c r="N774" s="4">
        <v>1255.0</v>
      </c>
      <c r="O774" s="4">
        <v>2867.0</v>
      </c>
    </row>
    <row r="775">
      <c r="A775" s="4">
        <v>8.053475328E9</v>
      </c>
      <c r="B775" s="5">
        <v>42477.0</v>
      </c>
      <c r="C775" s="4">
        <v>18827.0</v>
      </c>
      <c r="D775" s="4">
        <v>13.6899995803833</v>
      </c>
      <c r="E775" s="4">
        <v>13.6899995803833</v>
      </c>
      <c r="F775" s="4">
        <v>0.0</v>
      </c>
      <c r="G775" s="4">
        <v>9.23999977111816</v>
      </c>
      <c r="H775" s="4">
        <v>0.800000011920929</v>
      </c>
      <c r="I775" s="4">
        <v>3.64000010490417</v>
      </c>
      <c r="J775" s="4">
        <v>0.0</v>
      </c>
      <c r="K775" s="4">
        <v>111.0</v>
      </c>
      <c r="L775" s="4">
        <v>21.0</v>
      </c>
      <c r="M775" s="4">
        <v>195.0</v>
      </c>
      <c r="N775" s="4">
        <v>1113.0</v>
      </c>
      <c r="O775" s="4">
        <v>3213.0</v>
      </c>
    </row>
    <row r="776">
      <c r="A776" s="4">
        <v>8.053475328E9</v>
      </c>
      <c r="B776" s="5">
        <v>42478.0</v>
      </c>
      <c r="C776" s="4">
        <v>17076.0</v>
      </c>
      <c r="D776" s="4">
        <v>12.6599998474121</v>
      </c>
      <c r="E776" s="4">
        <v>12.6599998474121</v>
      </c>
      <c r="F776" s="4">
        <v>0.0</v>
      </c>
      <c r="G776" s="4">
        <v>9.07999992370605</v>
      </c>
      <c r="H776" s="4">
        <v>0.230000004172325</v>
      </c>
      <c r="I776" s="4">
        <v>3.34999990463257</v>
      </c>
      <c r="J776" s="4">
        <v>0.0</v>
      </c>
      <c r="K776" s="4">
        <v>102.0</v>
      </c>
      <c r="L776" s="4">
        <v>6.0</v>
      </c>
      <c r="M776" s="4">
        <v>195.0</v>
      </c>
      <c r="N776" s="4">
        <v>1137.0</v>
      </c>
      <c r="O776" s="4">
        <v>3133.0</v>
      </c>
    </row>
    <row r="777">
      <c r="A777" s="4">
        <v>8.053475328E9</v>
      </c>
      <c r="B777" s="5">
        <v>42479.0</v>
      </c>
      <c r="C777" s="4">
        <v>15929.0</v>
      </c>
      <c r="D777" s="4">
        <v>12.4799995422363</v>
      </c>
      <c r="E777" s="4">
        <v>12.4799995422363</v>
      </c>
      <c r="F777" s="4">
        <v>0.0</v>
      </c>
      <c r="G777" s="4">
        <v>9.22000026702881</v>
      </c>
      <c r="H777" s="4">
        <v>0.310000002384186</v>
      </c>
      <c r="I777" s="4">
        <v>2.95000004768372</v>
      </c>
      <c r="J777" s="4">
        <v>0.0</v>
      </c>
      <c r="K777" s="4">
        <v>90.0</v>
      </c>
      <c r="L777" s="4">
        <v>7.0</v>
      </c>
      <c r="M777" s="4">
        <v>191.0</v>
      </c>
      <c r="N777" s="4">
        <v>1152.0</v>
      </c>
      <c r="O777" s="4">
        <v>3114.0</v>
      </c>
    </row>
    <row r="778">
      <c r="A778" s="4">
        <v>8.053475328E9</v>
      </c>
      <c r="B778" s="5">
        <v>42480.0</v>
      </c>
      <c r="C778" s="4">
        <v>15108.0</v>
      </c>
      <c r="D778" s="4">
        <v>12.1899995803833</v>
      </c>
      <c r="E778" s="4">
        <v>12.1899995803833</v>
      </c>
      <c r="F778" s="4">
        <v>0.0</v>
      </c>
      <c r="G778" s="4">
        <v>9.57999992370605</v>
      </c>
      <c r="H778" s="4">
        <v>0.230000004172325</v>
      </c>
      <c r="I778" s="4">
        <v>2.38000011444092</v>
      </c>
      <c r="J778" s="4">
        <v>0.0</v>
      </c>
      <c r="K778" s="4">
        <v>89.0</v>
      </c>
      <c r="L778" s="4">
        <v>5.0</v>
      </c>
      <c r="M778" s="4">
        <v>158.0</v>
      </c>
      <c r="N778" s="4">
        <v>695.0</v>
      </c>
      <c r="O778" s="4">
        <v>3043.0</v>
      </c>
    </row>
    <row r="779">
      <c r="A779" s="4">
        <v>8.053475328E9</v>
      </c>
      <c r="B779" s="5">
        <v>42481.0</v>
      </c>
      <c r="C779" s="4">
        <v>16057.0</v>
      </c>
      <c r="D779" s="4">
        <v>12.5100002288818</v>
      </c>
      <c r="E779" s="4">
        <v>12.5100002288818</v>
      </c>
      <c r="F779" s="4">
        <v>0.0</v>
      </c>
      <c r="G779" s="4">
        <v>9.67000007629395</v>
      </c>
      <c r="H779" s="4">
        <v>0.25</v>
      </c>
      <c r="I779" s="4">
        <v>2.57999992370605</v>
      </c>
      <c r="J779" s="4">
        <v>0.0</v>
      </c>
      <c r="K779" s="4">
        <v>100.0</v>
      </c>
      <c r="L779" s="4">
        <v>6.0</v>
      </c>
      <c r="M779" s="4">
        <v>170.0</v>
      </c>
      <c r="N779" s="4">
        <v>1164.0</v>
      </c>
      <c r="O779" s="4">
        <v>3103.0</v>
      </c>
    </row>
    <row r="780">
      <c r="A780" s="4">
        <v>8.053475328E9</v>
      </c>
      <c r="B780" s="5">
        <v>42482.0</v>
      </c>
      <c r="C780" s="4">
        <v>10520.0</v>
      </c>
      <c r="D780" s="4">
        <v>8.28999996185303</v>
      </c>
      <c r="E780" s="4">
        <v>8.28999996185303</v>
      </c>
      <c r="F780" s="4">
        <v>0.0</v>
      </c>
      <c r="G780" s="4">
        <v>6.26000022888184</v>
      </c>
      <c r="H780" s="4">
        <v>0.150000005960464</v>
      </c>
      <c r="I780" s="4">
        <v>1.87999999523163</v>
      </c>
      <c r="J780" s="4">
        <v>0.0</v>
      </c>
      <c r="K780" s="4">
        <v>60.0</v>
      </c>
      <c r="L780" s="4">
        <v>3.0</v>
      </c>
      <c r="M780" s="4">
        <v>117.0</v>
      </c>
      <c r="N780" s="4">
        <v>1260.0</v>
      </c>
      <c r="O780" s="4">
        <v>2655.0</v>
      </c>
    </row>
    <row r="781">
      <c r="A781" s="4">
        <v>8.053475328E9</v>
      </c>
      <c r="B781" s="5">
        <v>42483.0</v>
      </c>
      <c r="C781" s="4">
        <v>22359.0</v>
      </c>
      <c r="D781" s="4">
        <v>17.1900005340576</v>
      </c>
      <c r="E781" s="4">
        <v>17.1900005340576</v>
      </c>
      <c r="F781" s="4">
        <v>0.0</v>
      </c>
      <c r="G781" s="4">
        <v>12.539999961853</v>
      </c>
      <c r="H781" s="4">
        <v>0.629999995231628</v>
      </c>
      <c r="I781" s="4">
        <v>4.01999998092651</v>
      </c>
      <c r="J781" s="4">
        <v>0.0</v>
      </c>
      <c r="K781" s="4">
        <v>125.0</v>
      </c>
      <c r="L781" s="4">
        <v>14.0</v>
      </c>
      <c r="M781" s="4">
        <v>223.0</v>
      </c>
      <c r="N781" s="4">
        <v>741.0</v>
      </c>
      <c r="O781" s="4">
        <v>3554.0</v>
      </c>
    </row>
    <row r="782">
      <c r="A782" s="4">
        <v>8.053475328E9</v>
      </c>
      <c r="B782" s="5">
        <v>42484.0</v>
      </c>
      <c r="C782" s="4">
        <v>22988.0</v>
      </c>
      <c r="D782" s="4">
        <v>17.9500007629395</v>
      </c>
      <c r="E782" s="4">
        <v>17.9500007629395</v>
      </c>
      <c r="F782" s="4">
        <v>0.0</v>
      </c>
      <c r="G782" s="4">
        <v>13.1300001144409</v>
      </c>
      <c r="H782" s="4">
        <v>1.54999995231628</v>
      </c>
      <c r="I782" s="4">
        <v>3.25999999046326</v>
      </c>
      <c r="J782" s="4">
        <v>0.0</v>
      </c>
      <c r="K782" s="4">
        <v>129.0</v>
      </c>
      <c r="L782" s="4">
        <v>33.0</v>
      </c>
      <c r="M782" s="4">
        <v>182.0</v>
      </c>
      <c r="N782" s="4">
        <v>1096.0</v>
      </c>
      <c r="O782" s="4">
        <v>3577.0</v>
      </c>
    </row>
    <row r="783">
      <c r="A783" s="4">
        <v>8.053475328E9</v>
      </c>
      <c r="B783" s="5">
        <v>42485.0</v>
      </c>
      <c r="C783" s="4">
        <v>20500.0</v>
      </c>
      <c r="D783" s="4">
        <v>15.6899995803833</v>
      </c>
      <c r="E783" s="4">
        <v>15.6899995803833</v>
      </c>
      <c r="F783" s="4">
        <v>0.0</v>
      </c>
      <c r="G783" s="4">
        <v>11.3699998855591</v>
      </c>
      <c r="H783" s="4">
        <v>0.46000000834465</v>
      </c>
      <c r="I783" s="4">
        <v>3.85999989509583</v>
      </c>
      <c r="J783" s="4">
        <v>0.0</v>
      </c>
      <c r="K783" s="4">
        <v>118.0</v>
      </c>
      <c r="L783" s="4">
        <v>9.0</v>
      </c>
      <c r="M783" s="4">
        <v>209.0</v>
      </c>
      <c r="N783" s="4">
        <v>1104.0</v>
      </c>
      <c r="O783" s="4">
        <v>3403.0</v>
      </c>
    </row>
    <row r="784">
      <c r="A784" s="4">
        <v>8.053475328E9</v>
      </c>
      <c r="B784" s="5">
        <v>42486.0</v>
      </c>
      <c r="C784" s="4">
        <v>12685.0</v>
      </c>
      <c r="D784" s="4">
        <v>9.61999988555908</v>
      </c>
      <c r="E784" s="4">
        <v>9.61999988555908</v>
      </c>
      <c r="F784" s="4">
        <v>0.0</v>
      </c>
      <c r="G784" s="4">
        <v>6.30999994277954</v>
      </c>
      <c r="H784" s="4">
        <v>0.200000002980232</v>
      </c>
      <c r="I784" s="4">
        <v>3.09999990463257</v>
      </c>
      <c r="J784" s="4">
        <v>0.0</v>
      </c>
      <c r="K784" s="4">
        <v>68.0</v>
      </c>
      <c r="L784" s="4">
        <v>5.0</v>
      </c>
      <c r="M784" s="4">
        <v>185.0</v>
      </c>
      <c r="N784" s="4">
        <v>1182.0</v>
      </c>
      <c r="O784" s="4">
        <v>2846.0</v>
      </c>
    </row>
    <row r="785">
      <c r="A785" s="4">
        <v>8.053475328E9</v>
      </c>
      <c r="B785" s="5">
        <v>42487.0</v>
      </c>
      <c r="C785" s="4">
        <v>12422.0</v>
      </c>
      <c r="D785" s="4">
        <v>9.81999969482422</v>
      </c>
      <c r="E785" s="4">
        <v>9.81999969482422</v>
      </c>
      <c r="F785" s="4">
        <v>0.0</v>
      </c>
      <c r="G785" s="4">
        <v>6.46000003814697</v>
      </c>
      <c r="H785" s="4">
        <v>0.430000007152557</v>
      </c>
      <c r="I785" s="4">
        <v>2.9300000667572</v>
      </c>
      <c r="J785" s="4">
        <v>0.0</v>
      </c>
      <c r="K785" s="4">
        <v>60.0</v>
      </c>
      <c r="L785" s="4">
        <v>10.0</v>
      </c>
      <c r="M785" s="4">
        <v>183.0</v>
      </c>
      <c r="N785" s="4">
        <v>1187.0</v>
      </c>
      <c r="O785" s="4">
        <v>2852.0</v>
      </c>
    </row>
    <row r="786">
      <c r="A786" s="4">
        <v>8.053475328E9</v>
      </c>
      <c r="B786" s="5">
        <v>42488.0</v>
      </c>
      <c r="C786" s="4">
        <v>15447.0</v>
      </c>
      <c r="D786" s="4">
        <v>12.3999996185303</v>
      </c>
      <c r="E786" s="4">
        <v>12.3999996185303</v>
      </c>
      <c r="F786" s="4">
        <v>0.0</v>
      </c>
      <c r="G786" s="4">
        <v>9.67000007629395</v>
      </c>
      <c r="H786" s="4">
        <v>0.389999985694885</v>
      </c>
      <c r="I786" s="4">
        <v>2.34999990463257</v>
      </c>
      <c r="J786" s="4">
        <v>0.0</v>
      </c>
      <c r="K786" s="4">
        <v>90.0</v>
      </c>
      <c r="L786" s="4">
        <v>9.0</v>
      </c>
      <c r="M786" s="4">
        <v>153.0</v>
      </c>
      <c r="N786" s="4">
        <v>1188.0</v>
      </c>
      <c r="O786" s="4">
        <v>3062.0</v>
      </c>
    </row>
    <row r="787">
      <c r="A787" s="4">
        <v>8.053475328E9</v>
      </c>
      <c r="B787" s="5">
        <v>42489.0</v>
      </c>
      <c r="C787" s="4">
        <v>12315.0</v>
      </c>
      <c r="D787" s="4">
        <v>9.64999961853027</v>
      </c>
      <c r="E787" s="4">
        <v>9.64999961853027</v>
      </c>
      <c r="F787" s="4">
        <v>0.0</v>
      </c>
      <c r="G787" s="4">
        <v>6.17000007629395</v>
      </c>
      <c r="H787" s="4">
        <v>0.310000002384186</v>
      </c>
      <c r="I787" s="4">
        <v>3.17000007629395</v>
      </c>
      <c r="J787" s="4">
        <v>0.0</v>
      </c>
      <c r="K787" s="4">
        <v>58.0</v>
      </c>
      <c r="L787" s="4">
        <v>8.0</v>
      </c>
      <c r="M787" s="4">
        <v>159.0</v>
      </c>
      <c r="N787" s="4">
        <v>1215.0</v>
      </c>
      <c r="O787" s="4">
        <v>2794.0</v>
      </c>
    </row>
    <row r="788">
      <c r="A788" s="4">
        <v>8.053475328E9</v>
      </c>
      <c r="B788" s="5">
        <v>42490.0</v>
      </c>
      <c r="C788" s="4">
        <v>7135.0</v>
      </c>
      <c r="D788" s="4">
        <v>5.59000015258789</v>
      </c>
      <c r="E788" s="4">
        <v>5.59000015258789</v>
      </c>
      <c r="F788" s="4">
        <v>0.0</v>
      </c>
      <c r="G788" s="4">
        <v>2.99000000953674</v>
      </c>
      <c r="H788" s="4">
        <v>0.0599999986588955</v>
      </c>
      <c r="I788" s="4">
        <v>2.53999996185303</v>
      </c>
      <c r="J788" s="4">
        <v>0.0</v>
      </c>
      <c r="K788" s="4">
        <v>27.0</v>
      </c>
      <c r="L788" s="4">
        <v>1.0</v>
      </c>
      <c r="M788" s="4">
        <v>131.0</v>
      </c>
      <c r="N788" s="4">
        <v>1281.0</v>
      </c>
      <c r="O788" s="4">
        <v>2408.0</v>
      </c>
    </row>
    <row r="789">
      <c r="A789" s="4">
        <v>8.053475328E9</v>
      </c>
      <c r="B789" s="5">
        <v>42491.0</v>
      </c>
      <c r="C789" s="4">
        <v>1170.0</v>
      </c>
      <c r="D789" s="4">
        <v>0.850000023841858</v>
      </c>
      <c r="E789" s="4">
        <v>0.850000023841858</v>
      </c>
      <c r="F789" s="4">
        <v>0.0</v>
      </c>
      <c r="G789" s="4">
        <v>0.0</v>
      </c>
      <c r="H789" s="4">
        <v>0.0</v>
      </c>
      <c r="I789" s="4">
        <v>0.850000023841858</v>
      </c>
      <c r="J789" s="4">
        <v>0.0</v>
      </c>
      <c r="K789" s="4">
        <v>0.0</v>
      </c>
      <c r="L789" s="4">
        <v>0.0</v>
      </c>
      <c r="M789" s="4">
        <v>51.0</v>
      </c>
      <c r="N789" s="4">
        <v>1389.0</v>
      </c>
      <c r="O789" s="4">
        <v>1886.0</v>
      </c>
    </row>
    <row r="790">
      <c r="A790" s="4">
        <v>8.053475328E9</v>
      </c>
      <c r="B790" s="5">
        <v>42492.0</v>
      </c>
      <c r="C790" s="4">
        <v>1969.0</v>
      </c>
      <c r="D790" s="4">
        <v>1.42999994754791</v>
      </c>
      <c r="E790" s="4">
        <v>1.42999994754791</v>
      </c>
      <c r="F790" s="4">
        <v>0.0</v>
      </c>
      <c r="G790" s="4">
        <v>0.0</v>
      </c>
      <c r="H790" s="4">
        <v>0.0</v>
      </c>
      <c r="I790" s="4">
        <v>1.42999994754791</v>
      </c>
      <c r="J790" s="4">
        <v>0.0</v>
      </c>
      <c r="K790" s="4">
        <v>0.0</v>
      </c>
      <c r="L790" s="4">
        <v>0.0</v>
      </c>
      <c r="M790" s="4">
        <v>95.0</v>
      </c>
      <c r="N790" s="4">
        <v>1345.0</v>
      </c>
      <c r="O790" s="4">
        <v>1988.0</v>
      </c>
    </row>
    <row r="791">
      <c r="A791" s="4">
        <v>8.053475328E9</v>
      </c>
      <c r="B791" s="5">
        <v>42493.0</v>
      </c>
      <c r="C791" s="4">
        <v>15484.0</v>
      </c>
      <c r="D791" s="4">
        <v>11.8999996185303</v>
      </c>
      <c r="E791" s="4">
        <v>11.8999996185303</v>
      </c>
      <c r="F791" s="4">
        <v>0.0</v>
      </c>
      <c r="G791" s="4">
        <v>8.39000034332275</v>
      </c>
      <c r="H791" s="4">
        <v>0.930000007152557</v>
      </c>
      <c r="I791" s="4">
        <v>2.58999991416931</v>
      </c>
      <c r="J791" s="4">
        <v>0.0</v>
      </c>
      <c r="K791" s="4">
        <v>87.0</v>
      </c>
      <c r="L791" s="4">
        <v>22.0</v>
      </c>
      <c r="M791" s="4">
        <v>165.0</v>
      </c>
      <c r="N791" s="4">
        <v>1166.0</v>
      </c>
      <c r="O791" s="4">
        <v>3023.0</v>
      </c>
    </row>
    <row r="792">
      <c r="A792" s="4">
        <v>8.053475328E9</v>
      </c>
      <c r="B792" s="5">
        <v>42494.0</v>
      </c>
      <c r="C792" s="4">
        <v>14581.0</v>
      </c>
      <c r="D792" s="4">
        <v>11.1499996185303</v>
      </c>
      <c r="E792" s="4">
        <v>11.1499996185303</v>
      </c>
      <c r="F792" s="4">
        <v>0.0</v>
      </c>
      <c r="G792" s="4">
        <v>8.81999969482422</v>
      </c>
      <c r="H792" s="4">
        <v>0.400000005960464</v>
      </c>
      <c r="I792" s="4">
        <v>1.9099999666214</v>
      </c>
      <c r="J792" s="4">
        <v>0.0</v>
      </c>
      <c r="K792" s="4">
        <v>89.0</v>
      </c>
      <c r="L792" s="4">
        <v>8.0</v>
      </c>
      <c r="M792" s="4">
        <v>123.0</v>
      </c>
      <c r="N792" s="4">
        <v>1220.0</v>
      </c>
      <c r="O792" s="4">
        <v>2918.0</v>
      </c>
    </row>
    <row r="793">
      <c r="A793" s="4">
        <v>8.053475328E9</v>
      </c>
      <c r="B793" s="5">
        <v>42495.0</v>
      </c>
      <c r="C793" s="4">
        <v>14990.0</v>
      </c>
      <c r="D793" s="4">
        <v>11.5100002288818</v>
      </c>
      <c r="E793" s="4">
        <v>11.5100002288818</v>
      </c>
      <c r="F793" s="4">
        <v>0.0</v>
      </c>
      <c r="G793" s="4">
        <v>8.85000038146973</v>
      </c>
      <c r="H793" s="4">
        <v>0.449999988079071</v>
      </c>
      <c r="I793" s="4">
        <v>2.21000003814697</v>
      </c>
      <c r="J793" s="4">
        <v>0.0</v>
      </c>
      <c r="K793" s="4">
        <v>93.0</v>
      </c>
      <c r="L793" s="4">
        <v>9.0</v>
      </c>
      <c r="M793" s="4">
        <v>130.0</v>
      </c>
      <c r="N793" s="4">
        <v>1208.0</v>
      </c>
      <c r="O793" s="4">
        <v>2950.0</v>
      </c>
    </row>
    <row r="794">
      <c r="A794" s="4">
        <v>8.053475328E9</v>
      </c>
      <c r="B794" s="5">
        <v>42496.0</v>
      </c>
      <c r="C794" s="4">
        <v>13953.0</v>
      </c>
      <c r="D794" s="4">
        <v>11.0</v>
      </c>
      <c r="E794" s="4">
        <v>11.0</v>
      </c>
      <c r="F794" s="4">
        <v>0.0</v>
      </c>
      <c r="G794" s="4">
        <v>9.10000038146973</v>
      </c>
      <c r="H794" s="4">
        <v>0.689999997615814</v>
      </c>
      <c r="I794" s="4">
        <v>1.21000003814697</v>
      </c>
      <c r="J794" s="4">
        <v>0.0</v>
      </c>
      <c r="K794" s="4">
        <v>90.0</v>
      </c>
      <c r="L794" s="4">
        <v>15.0</v>
      </c>
      <c r="M794" s="4">
        <v>90.0</v>
      </c>
      <c r="N794" s="4">
        <v>1245.0</v>
      </c>
      <c r="O794" s="4">
        <v>2859.0</v>
      </c>
    </row>
    <row r="795">
      <c r="A795" s="4">
        <v>8.053475328E9</v>
      </c>
      <c r="B795" s="5">
        <v>42497.0</v>
      </c>
      <c r="C795" s="4">
        <v>19769.0</v>
      </c>
      <c r="D795" s="4">
        <v>15.6700000762939</v>
      </c>
      <c r="E795" s="4">
        <v>15.6700000762939</v>
      </c>
      <c r="F795" s="4">
        <v>0.0</v>
      </c>
      <c r="G795" s="4">
        <v>12.4399995803833</v>
      </c>
      <c r="H795" s="4">
        <v>0.879999995231628</v>
      </c>
      <c r="I795" s="4">
        <v>2.34999990463257</v>
      </c>
      <c r="J795" s="4">
        <v>0.0</v>
      </c>
      <c r="K795" s="4">
        <v>121.0</v>
      </c>
      <c r="L795" s="4">
        <v>20.0</v>
      </c>
      <c r="M795" s="4">
        <v>148.0</v>
      </c>
      <c r="N795" s="4">
        <v>1076.0</v>
      </c>
      <c r="O795" s="4">
        <v>3331.0</v>
      </c>
    </row>
    <row r="796">
      <c r="A796" s="4">
        <v>8.053475328E9</v>
      </c>
      <c r="B796" s="5">
        <v>42498.0</v>
      </c>
      <c r="C796" s="4">
        <v>22026.0</v>
      </c>
      <c r="D796" s="4">
        <v>17.6499996185303</v>
      </c>
      <c r="E796" s="4">
        <v>17.6499996185303</v>
      </c>
      <c r="F796" s="4">
        <v>0.0</v>
      </c>
      <c r="G796" s="4">
        <v>13.3999996185303</v>
      </c>
      <c r="H796" s="4">
        <v>0.589999973773956</v>
      </c>
      <c r="I796" s="4">
        <v>3.66000008583069</v>
      </c>
      <c r="J796" s="4">
        <v>0.0</v>
      </c>
      <c r="K796" s="4">
        <v>125.0</v>
      </c>
      <c r="L796" s="4">
        <v>14.0</v>
      </c>
      <c r="M796" s="4">
        <v>228.0</v>
      </c>
      <c r="N796" s="4">
        <v>1073.0</v>
      </c>
      <c r="O796" s="4">
        <v>3589.0</v>
      </c>
    </row>
    <row r="797">
      <c r="A797" s="4">
        <v>8.053475328E9</v>
      </c>
      <c r="B797" s="5">
        <v>42499.0</v>
      </c>
      <c r="C797" s="4">
        <v>12465.0</v>
      </c>
      <c r="D797" s="4">
        <v>9.38000011444092</v>
      </c>
      <c r="E797" s="4">
        <v>9.38000011444092</v>
      </c>
      <c r="F797" s="4">
        <v>0.0</v>
      </c>
      <c r="G797" s="4">
        <v>6.11999988555908</v>
      </c>
      <c r="H797" s="4">
        <v>0.569999992847443</v>
      </c>
      <c r="I797" s="4">
        <v>2.69000005722046</v>
      </c>
      <c r="J797" s="4">
        <v>0.0</v>
      </c>
      <c r="K797" s="4">
        <v>66.0</v>
      </c>
      <c r="L797" s="4">
        <v>12.0</v>
      </c>
      <c r="M797" s="4">
        <v>148.0</v>
      </c>
      <c r="N797" s="4">
        <v>1214.0</v>
      </c>
      <c r="O797" s="4">
        <v>2765.0</v>
      </c>
    </row>
    <row r="798">
      <c r="A798" s="4">
        <v>8.053475328E9</v>
      </c>
      <c r="B798" s="5">
        <v>42500.0</v>
      </c>
      <c r="C798" s="4">
        <v>14810.0</v>
      </c>
      <c r="D798" s="4">
        <v>11.3599996566772</v>
      </c>
      <c r="E798" s="4">
        <v>11.3599996566772</v>
      </c>
      <c r="F798" s="4">
        <v>0.0</v>
      </c>
      <c r="G798" s="4">
        <v>9.09000015258789</v>
      </c>
      <c r="H798" s="4">
        <v>0.419999986886978</v>
      </c>
      <c r="I798" s="4">
        <v>1.85000002384186</v>
      </c>
      <c r="J798" s="4">
        <v>0.0</v>
      </c>
      <c r="K798" s="4">
        <v>96.0</v>
      </c>
      <c r="L798" s="4">
        <v>10.0</v>
      </c>
      <c r="M798" s="4">
        <v>115.0</v>
      </c>
      <c r="N798" s="4">
        <v>1219.0</v>
      </c>
      <c r="O798" s="4">
        <v>2926.0</v>
      </c>
    </row>
    <row r="799">
      <c r="A799" s="4">
        <v>8.053475328E9</v>
      </c>
      <c r="B799" s="5">
        <v>42501.0</v>
      </c>
      <c r="C799" s="4">
        <v>12209.0</v>
      </c>
      <c r="D799" s="4">
        <v>9.39999961853027</v>
      </c>
      <c r="E799" s="4">
        <v>9.39999961853027</v>
      </c>
      <c r="F799" s="4">
        <v>0.0</v>
      </c>
      <c r="G799" s="4">
        <v>6.07999992370605</v>
      </c>
      <c r="H799" s="4">
        <v>0.280000001192093</v>
      </c>
      <c r="I799" s="4">
        <v>3.03999996185303</v>
      </c>
      <c r="J799" s="4">
        <v>0.0</v>
      </c>
      <c r="K799" s="4">
        <v>60.0</v>
      </c>
      <c r="L799" s="4">
        <v>7.0</v>
      </c>
      <c r="M799" s="4">
        <v>184.0</v>
      </c>
      <c r="N799" s="4">
        <v>1189.0</v>
      </c>
      <c r="O799" s="4">
        <v>2809.0</v>
      </c>
    </row>
    <row r="800">
      <c r="A800" s="4">
        <v>8.053475328E9</v>
      </c>
      <c r="B800" s="5">
        <v>42502.0</v>
      </c>
      <c r="C800" s="4">
        <v>4998.0</v>
      </c>
      <c r="D800" s="4">
        <v>3.91000008583069</v>
      </c>
      <c r="E800" s="4">
        <v>3.91000008583069</v>
      </c>
      <c r="F800" s="4">
        <v>0.0</v>
      </c>
      <c r="G800" s="4">
        <v>2.95000004768372</v>
      </c>
      <c r="H800" s="4">
        <v>0.200000002980232</v>
      </c>
      <c r="I800" s="4">
        <v>0.759999990463257</v>
      </c>
      <c r="J800" s="4">
        <v>0.0</v>
      </c>
      <c r="K800" s="4">
        <v>28.0</v>
      </c>
      <c r="L800" s="4">
        <v>4.0</v>
      </c>
      <c r="M800" s="4">
        <v>39.0</v>
      </c>
      <c r="N800" s="4">
        <v>839.0</v>
      </c>
      <c r="O800" s="4">
        <v>1505.0</v>
      </c>
    </row>
    <row r="801">
      <c r="A801" s="4">
        <v>8.253242879E9</v>
      </c>
      <c r="B801" s="5">
        <v>42472.0</v>
      </c>
      <c r="C801" s="4">
        <v>9033.0</v>
      </c>
      <c r="D801" s="4">
        <v>7.15999984741211</v>
      </c>
      <c r="E801" s="4">
        <v>7.15999984741211</v>
      </c>
      <c r="F801" s="4">
        <v>0.0</v>
      </c>
      <c r="G801" s="4">
        <v>5.42999982833862</v>
      </c>
      <c r="H801" s="4">
        <v>0.140000000596046</v>
      </c>
      <c r="I801" s="4">
        <v>1.5900000333786</v>
      </c>
      <c r="J801" s="4">
        <v>0.0</v>
      </c>
      <c r="K801" s="4">
        <v>40.0</v>
      </c>
      <c r="L801" s="4">
        <v>2.0</v>
      </c>
      <c r="M801" s="4">
        <v>154.0</v>
      </c>
      <c r="N801" s="4">
        <v>1244.0</v>
      </c>
      <c r="O801" s="4">
        <v>2044.0</v>
      </c>
    </row>
    <row r="802">
      <c r="A802" s="4">
        <v>8.253242879E9</v>
      </c>
      <c r="B802" s="5">
        <v>42473.0</v>
      </c>
      <c r="C802" s="4">
        <v>8053.0</v>
      </c>
      <c r="D802" s="4">
        <v>6.09999990463257</v>
      </c>
      <c r="E802" s="4">
        <v>6.09999990463257</v>
      </c>
      <c r="F802" s="4">
        <v>0.0</v>
      </c>
      <c r="G802" s="4">
        <v>4.17000007629395</v>
      </c>
      <c r="H802" s="4">
        <v>0.629999995231628</v>
      </c>
      <c r="I802" s="4">
        <v>1.30999994277954</v>
      </c>
      <c r="J802" s="4">
        <v>0.0</v>
      </c>
      <c r="K802" s="4">
        <v>35.0</v>
      </c>
      <c r="L802" s="4">
        <v>11.0</v>
      </c>
      <c r="M802" s="4">
        <v>96.0</v>
      </c>
      <c r="N802" s="4">
        <v>1298.0</v>
      </c>
      <c r="O802" s="4">
        <v>1935.0</v>
      </c>
    </row>
    <row r="803">
      <c r="A803" s="4">
        <v>8.253242879E9</v>
      </c>
      <c r="B803" s="5">
        <v>42474.0</v>
      </c>
      <c r="C803" s="4">
        <v>5234.0</v>
      </c>
      <c r="D803" s="4">
        <v>3.46000003814697</v>
      </c>
      <c r="E803" s="4">
        <v>3.46000003814697</v>
      </c>
      <c r="F803" s="4">
        <v>0.0</v>
      </c>
      <c r="G803" s="4">
        <v>1.92999994754791</v>
      </c>
      <c r="H803" s="4">
        <v>0.990000009536743</v>
      </c>
      <c r="I803" s="4">
        <v>0.540000021457672</v>
      </c>
      <c r="J803" s="4">
        <v>0.0</v>
      </c>
      <c r="K803" s="4">
        <v>29.0</v>
      </c>
      <c r="L803" s="4">
        <v>16.0</v>
      </c>
      <c r="M803" s="4">
        <v>33.0</v>
      </c>
      <c r="N803" s="4">
        <v>1362.0</v>
      </c>
      <c r="O803" s="4">
        <v>1705.0</v>
      </c>
    </row>
    <row r="804">
      <c r="A804" s="4">
        <v>8.253242879E9</v>
      </c>
      <c r="B804" s="5">
        <v>42475.0</v>
      </c>
      <c r="C804" s="4">
        <v>2672.0</v>
      </c>
      <c r="D804" s="4">
        <v>1.76999998092651</v>
      </c>
      <c r="E804" s="4">
        <v>1.76999998092651</v>
      </c>
      <c r="F804" s="4">
        <v>0.0</v>
      </c>
      <c r="G804" s="4">
        <v>0.0</v>
      </c>
      <c r="H804" s="4">
        <v>0.0</v>
      </c>
      <c r="I804" s="4">
        <v>1.75999999046326</v>
      </c>
      <c r="J804" s="4">
        <v>0.0</v>
      </c>
      <c r="K804" s="4">
        <v>0.0</v>
      </c>
      <c r="L804" s="4">
        <v>0.0</v>
      </c>
      <c r="M804" s="4">
        <v>105.0</v>
      </c>
      <c r="N804" s="4">
        <v>1335.0</v>
      </c>
      <c r="O804" s="4">
        <v>1632.0</v>
      </c>
    </row>
    <row r="805">
      <c r="A805" s="4">
        <v>8.253242879E9</v>
      </c>
      <c r="B805" s="5">
        <v>42476.0</v>
      </c>
      <c r="C805" s="4">
        <v>9256.0</v>
      </c>
      <c r="D805" s="4">
        <v>6.1399998664856</v>
      </c>
      <c r="E805" s="4">
        <v>6.1399998664856</v>
      </c>
      <c r="F805" s="4">
        <v>0.0</v>
      </c>
      <c r="G805" s="4">
        <v>0.430000007152557</v>
      </c>
      <c r="H805" s="4">
        <v>3.26999998092651</v>
      </c>
      <c r="I805" s="4">
        <v>2.45000004768372</v>
      </c>
      <c r="J805" s="4">
        <v>0.0</v>
      </c>
      <c r="K805" s="4">
        <v>6.0</v>
      </c>
      <c r="L805" s="4">
        <v>51.0</v>
      </c>
      <c r="M805" s="4">
        <v>115.0</v>
      </c>
      <c r="N805" s="4">
        <v>1268.0</v>
      </c>
      <c r="O805" s="4">
        <v>1880.0</v>
      </c>
    </row>
    <row r="806">
      <c r="A806" s="4">
        <v>8.253242879E9</v>
      </c>
      <c r="B806" s="5">
        <v>42477.0</v>
      </c>
      <c r="C806" s="4">
        <v>10204.0</v>
      </c>
      <c r="D806" s="4">
        <v>7.90999984741211</v>
      </c>
      <c r="E806" s="4">
        <v>7.90999984741211</v>
      </c>
      <c r="F806" s="4">
        <v>0.0</v>
      </c>
      <c r="G806" s="4">
        <v>5.42999982833862</v>
      </c>
      <c r="H806" s="4">
        <v>0.150000005960464</v>
      </c>
      <c r="I806" s="4">
        <v>2.32999992370605</v>
      </c>
      <c r="J806" s="4">
        <v>0.0</v>
      </c>
      <c r="K806" s="4">
        <v>41.0</v>
      </c>
      <c r="L806" s="4">
        <v>5.0</v>
      </c>
      <c r="M806" s="4">
        <v>157.0</v>
      </c>
      <c r="N806" s="4">
        <v>1237.0</v>
      </c>
      <c r="O806" s="4">
        <v>2112.0</v>
      </c>
    </row>
    <row r="807">
      <c r="A807" s="4">
        <v>8.253242879E9</v>
      </c>
      <c r="B807" s="5">
        <v>42478.0</v>
      </c>
      <c r="C807" s="4">
        <v>5151.0</v>
      </c>
      <c r="D807" s="4">
        <v>3.48000001907349</v>
      </c>
      <c r="E807" s="4">
        <v>3.48000001907349</v>
      </c>
      <c r="F807" s="4">
        <v>0.0</v>
      </c>
      <c r="G807" s="4">
        <v>1.03999996185303</v>
      </c>
      <c r="H807" s="4">
        <v>0.629999995231628</v>
      </c>
      <c r="I807" s="4">
        <v>1.79999995231628</v>
      </c>
      <c r="J807" s="4">
        <v>0.0</v>
      </c>
      <c r="K807" s="4">
        <v>16.0</v>
      </c>
      <c r="L807" s="4">
        <v>16.0</v>
      </c>
      <c r="M807" s="4">
        <v>130.0</v>
      </c>
      <c r="N807" s="4">
        <v>1278.0</v>
      </c>
      <c r="O807" s="4">
        <v>1829.0</v>
      </c>
    </row>
    <row r="808">
      <c r="A808" s="4">
        <v>8.253242879E9</v>
      </c>
      <c r="B808" s="5">
        <v>42479.0</v>
      </c>
      <c r="C808" s="4">
        <v>4212.0</v>
      </c>
      <c r="D808" s="4">
        <v>2.77999997138977</v>
      </c>
      <c r="E808" s="4">
        <v>2.77999997138977</v>
      </c>
      <c r="F808" s="4">
        <v>0.0</v>
      </c>
      <c r="G808" s="4">
        <v>0.0</v>
      </c>
      <c r="H808" s="4">
        <v>0.0</v>
      </c>
      <c r="I808" s="4">
        <v>2.77999997138977</v>
      </c>
      <c r="J808" s="4">
        <v>0.0</v>
      </c>
      <c r="K808" s="4">
        <v>0.0</v>
      </c>
      <c r="L808" s="4">
        <v>0.0</v>
      </c>
      <c r="M808" s="4">
        <v>164.0</v>
      </c>
      <c r="N808" s="4">
        <v>1276.0</v>
      </c>
      <c r="O808" s="4">
        <v>1763.0</v>
      </c>
    </row>
    <row r="809">
      <c r="A809" s="4">
        <v>8.253242879E9</v>
      </c>
      <c r="B809" s="5">
        <v>42480.0</v>
      </c>
      <c r="C809" s="4">
        <v>6466.0</v>
      </c>
      <c r="D809" s="4">
        <v>4.26999998092651</v>
      </c>
      <c r="E809" s="4">
        <v>4.26999998092651</v>
      </c>
      <c r="F809" s="4">
        <v>0.0</v>
      </c>
      <c r="G809" s="4">
        <v>0.330000013113022</v>
      </c>
      <c r="H809" s="4">
        <v>0.819999992847443</v>
      </c>
      <c r="I809" s="4">
        <v>3.10999989509583</v>
      </c>
      <c r="J809" s="4">
        <v>0.00999999977648258</v>
      </c>
      <c r="K809" s="4">
        <v>5.0</v>
      </c>
      <c r="L809" s="4">
        <v>18.0</v>
      </c>
      <c r="M809" s="4">
        <v>216.0</v>
      </c>
      <c r="N809" s="4">
        <v>1201.0</v>
      </c>
      <c r="O809" s="4">
        <v>1931.0</v>
      </c>
    </row>
    <row r="810">
      <c r="A810" s="4">
        <v>8.253242879E9</v>
      </c>
      <c r="B810" s="5">
        <v>42481.0</v>
      </c>
      <c r="C810" s="4">
        <v>11268.0</v>
      </c>
      <c r="D810" s="4">
        <v>8.5600004196167</v>
      </c>
      <c r="E810" s="4">
        <v>8.5600004196167</v>
      </c>
      <c r="F810" s="4">
        <v>0.0</v>
      </c>
      <c r="G810" s="4">
        <v>5.88000011444092</v>
      </c>
      <c r="H810" s="4">
        <v>0.930000007152557</v>
      </c>
      <c r="I810" s="4">
        <v>1.75</v>
      </c>
      <c r="J810" s="4">
        <v>0.0</v>
      </c>
      <c r="K810" s="4">
        <v>49.0</v>
      </c>
      <c r="L810" s="4">
        <v>20.0</v>
      </c>
      <c r="M810" s="4">
        <v>172.0</v>
      </c>
      <c r="N810" s="4">
        <v>1199.0</v>
      </c>
      <c r="O810" s="4">
        <v>2218.0</v>
      </c>
    </row>
    <row r="811">
      <c r="A811" s="4">
        <v>8.253242879E9</v>
      </c>
      <c r="B811" s="5">
        <v>42482.0</v>
      </c>
      <c r="C811" s="4">
        <v>2824.0</v>
      </c>
      <c r="D811" s="4">
        <v>1.87000000476837</v>
      </c>
      <c r="E811" s="4">
        <v>1.87000000476837</v>
      </c>
      <c r="F811" s="4">
        <v>0.0</v>
      </c>
      <c r="G811" s="4">
        <v>0.0</v>
      </c>
      <c r="H811" s="4">
        <v>0.0</v>
      </c>
      <c r="I811" s="4">
        <v>1.87000000476837</v>
      </c>
      <c r="J811" s="4">
        <v>0.0</v>
      </c>
      <c r="K811" s="4">
        <v>0.0</v>
      </c>
      <c r="L811" s="4">
        <v>0.0</v>
      </c>
      <c r="M811" s="4">
        <v>120.0</v>
      </c>
      <c r="N811" s="4">
        <v>1320.0</v>
      </c>
      <c r="O811" s="4">
        <v>1651.0</v>
      </c>
    </row>
    <row r="812">
      <c r="A812" s="4">
        <v>8.253242879E9</v>
      </c>
      <c r="B812" s="5">
        <v>42483.0</v>
      </c>
      <c r="C812" s="4">
        <v>9282.0</v>
      </c>
      <c r="D812" s="4">
        <v>6.26000022888184</v>
      </c>
      <c r="E812" s="4">
        <v>6.26000022888184</v>
      </c>
      <c r="F812" s="4">
        <v>0.0</v>
      </c>
      <c r="G812" s="4">
        <v>2.08999991416931</v>
      </c>
      <c r="H812" s="4">
        <v>1.03999996185303</v>
      </c>
      <c r="I812" s="4">
        <v>3.13000011444092</v>
      </c>
      <c r="J812" s="4">
        <v>0.0</v>
      </c>
      <c r="K812" s="4">
        <v>30.0</v>
      </c>
      <c r="L812" s="4">
        <v>26.0</v>
      </c>
      <c r="M812" s="4">
        <v>191.0</v>
      </c>
      <c r="N812" s="4">
        <v>1193.0</v>
      </c>
      <c r="O812" s="4">
        <v>2132.0</v>
      </c>
    </row>
    <row r="813">
      <c r="A813" s="4">
        <v>8.253242879E9</v>
      </c>
      <c r="B813" s="5">
        <v>42484.0</v>
      </c>
      <c r="C813" s="4">
        <v>8905.0</v>
      </c>
      <c r="D813" s="4">
        <v>7.13000011444092</v>
      </c>
      <c r="E813" s="4">
        <v>7.13000011444092</v>
      </c>
      <c r="F813" s="4">
        <v>0.0</v>
      </c>
      <c r="G813" s="4">
        <v>5.59999990463257</v>
      </c>
      <c r="H813" s="4">
        <v>0.189999997615814</v>
      </c>
      <c r="I813" s="4">
        <v>1.3400000333786</v>
      </c>
      <c r="J813" s="4">
        <v>0.0</v>
      </c>
      <c r="K813" s="4">
        <v>41.0</v>
      </c>
      <c r="L813" s="4">
        <v>4.0</v>
      </c>
      <c r="M813" s="4">
        <v>82.0</v>
      </c>
      <c r="N813" s="4">
        <v>1313.0</v>
      </c>
      <c r="O813" s="4">
        <v>1976.0</v>
      </c>
    </row>
    <row r="814">
      <c r="A814" s="4">
        <v>8.253242879E9</v>
      </c>
      <c r="B814" s="5">
        <v>42485.0</v>
      </c>
      <c r="C814" s="4">
        <v>6829.0</v>
      </c>
      <c r="D814" s="4">
        <v>4.51000022888184</v>
      </c>
      <c r="E814" s="4">
        <v>4.51000022888184</v>
      </c>
      <c r="F814" s="4">
        <v>0.0</v>
      </c>
      <c r="G814" s="4">
        <v>0.360000014305115</v>
      </c>
      <c r="H814" s="4">
        <v>2.39000010490417</v>
      </c>
      <c r="I814" s="4">
        <v>1.76999998092651</v>
      </c>
      <c r="J814" s="4">
        <v>0.0</v>
      </c>
      <c r="K814" s="4">
        <v>7.0</v>
      </c>
      <c r="L814" s="4">
        <v>54.0</v>
      </c>
      <c r="M814" s="4">
        <v>118.0</v>
      </c>
      <c r="N814" s="4">
        <v>1261.0</v>
      </c>
      <c r="O814" s="4">
        <v>1909.0</v>
      </c>
    </row>
    <row r="815">
      <c r="A815" s="4">
        <v>8.253242879E9</v>
      </c>
      <c r="B815" s="5">
        <v>42486.0</v>
      </c>
      <c r="C815" s="4">
        <v>4562.0</v>
      </c>
      <c r="D815" s="4">
        <v>3.03999996185303</v>
      </c>
      <c r="E815" s="4">
        <v>3.03999996185303</v>
      </c>
      <c r="F815" s="4">
        <v>0.0</v>
      </c>
      <c r="G815" s="4">
        <v>1.17999994754791</v>
      </c>
      <c r="H815" s="4">
        <v>0.490000009536743</v>
      </c>
      <c r="I815" s="4">
        <v>1.37000000476837</v>
      </c>
      <c r="J815" s="4">
        <v>0.0</v>
      </c>
      <c r="K815" s="4">
        <v>19.0</v>
      </c>
      <c r="L815" s="4">
        <v>14.0</v>
      </c>
      <c r="M815" s="4">
        <v>108.0</v>
      </c>
      <c r="N815" s="4">
        <v>1299.0</v>
      </c>
      <c r="O815" s="4">
        <v>1813.0</v>
      </c>
    </row>
    <row r="816">
      <c r="A816" s="4">
        <v>8.253242879E9</v>
      </c>
      <c r="B816" s="5">
        <v>42487.0</v>
      </c>
      <c r="C816" s="4">
        <v>10232.0</v>
      </c>
      <c r="D816" s="4">
        <v>8.18000030517578</v>
      </c>
      <c r="E816" s="4">
        <v>8.18000030517578</v>
      </c>
      <c r="F816" s="4">
        <v>0.0</v>
      </c>
      <c r="G816" s="4">
        <v>6.23999977111816</v>
      </c>
      <c r="H816" s="4">
        <v>0.230000004172325</v>
      </c>
      <c r="I816" s="4">
        <v>1.70000004768372</v>
      </c>
      <c r="J816" s="4">
        <v>0.0</v>
      </c>
      <c r="K816" s="4">
        <v>45.0</v>
      </c>
      <c r="L816" s="4">
        <v>5.0</v>
      </c>
      <c r="M816" s="4">
        <v>104.0</v>
      </c>
      <c r="N816" s="4">
        <v>1286.0</v>
      </c>
      <c r="O816" s="4">
        <v>2008.0</v>
      </c>
    </row>
    <row r="817">
      <c r="A817" s="4">
        <v>8.253242879E9</v>
      </c>
      <c r="B817" s="5">
        <v>42488.0</v>
      </c>
      <c r="C817" s="4">
        <v>2718.0</v>
      </c>
      <c r="D817" s="4">
        <v>1.79999995231628</v>
      </c>
      <c r="E817" s="4">
        <v>1.79999995231628</v>
      </c>
      <c r="F817" s="4">
        <v>0.0</v>
      </c>
      <c r="G817" s="4">
        <v>0.670000016689301</v>
      </c>
      <c r="H817" s="4">
        <v>0.779999971389771</v>
      </c>
      <c r="I817" s="4">
        <v>0.340000003576279</v>
      </c>
      <c r="J817" s="4">
        <v>0.0</v>
      </c>
      <c r="K817" s="4">
        <v>11.0</v>
      </c>
      <c r="L817" s="4">
        <v>16.0</v>
      </c>
      <c r="M817" s="4">
        <v>20.0</v>
      </c>
      <c r="N817" s="4">
        <v>1393.0</v>
      </c>
      <c r="O817" s="4">
        <v>1580.0</v>
      </c>
    </row>
    <row r="818">
      <c r="A818" s="4">
        <v>8.253242879E9</v>
      </c>
      <c r="B818" s="5">
        <v>42489.0</v>
      </c>
      <c r="C818" s="4">
        <v>6260.0</v>
      </c>
      <c r="D818" s="4">
        <v>4.26000022888184</v>
      </c>
      <c r="E818" s="4">
        <v>4.26000022888184</v>
      </c>
      <c r="F818" s="4">
        <v>0.0</v>
      </c>
      <c r="G818" s="4">
        <v>1.28999996185303</v>
      </c>
      <c r="H818" s="4">
        <v>0.540000021457672</v>
      </c>
      <c r="I818" s="4">
        <v>2.40000009536743</v>
      </c>
      <c r="J818" s="4">
        <v>0.0</v>
      </c>
      <c r="K818" s="4">
        <v>16.0</v>
      </c>
      <c r="L818" s="4">
        <v>14.0</v>
      </c>
      <c r="M818" s="4">
        <v>136.0</v>
      </c>
      <c r="N818" s="4">
        <v>1257.0</v>
      </c>
      <c r="O818" s="4">
        <v>1854.0</v>
      </c>
    </row>
    <row r="819">
      <c r="A819" s="4">
        <v>8.253242879E9</v>
      </c>
      <c r="B819" s="5">
        <v>42490.0</v>
      </c>
      <c r="C819" s="4">
        <v>0.0</v>
      </c>
      <c r="D819" s="4">
        <v>0.0</v>
      </c>
      <c r="E819" s="4">
        <v>0.0</v>
      </c>
      <c r="F819" s="4">
        <v>0.0</v>
      </c>
      <c r="G819" s="4">
        <v>0.0</v>
      </c>
      <c r="H819" s="4">
        <v>0.0</v>
      </c>
      <c r="I819" s="4">
        <v>0.0</v>
      </c>
      <c r="J819" s="4">
        <v>0.0</v>
      </c>
      <c r="K819" s="4">
        <v>0.0</v>
      </c>
      <c r="L819" s="4">
        <v>0.0</v>
      </c>
      <c r="M819" s="4">
        <v>0.0</v>
      </c>
      <c r="N819" s="4">
        <v>1440.0</v>
      </c>
      <c r="O819" s="4">
        <v>0.0</v>
      </c>
    </row>
    <row r="820">
      <c r="A820" s="4">
        <v>8.3785632E9</v>
      </c>
      <c r="B820" s="5">
        <v>42472.0</v>
      </c>
      <c r="C820" s="4">
        <v>7626.0</v>
      </c>
      <c r="D820" s="4">
        <v>6.05000019073486</v>
      </c>
      <c r="E820" s="4">
        <v>6.05000019073486</v>
      </c>
      <c r="F820" s="4">
        <v>2.25308108329773</v>
      </c>
      <c r="G820" s="4">
        <v>0.829999983310699</v>
      </c>
      <c r="H820" s="4">
        <v>0.709999978542328</v>
      </c>
      <c r="I820" s="4">
        <v>4.5</v>
      </c>
      <c r="J820" s="4">
        <v>0.0</v>
      </c>
      <c r="K820" s="4">
        <v>65.0</v>
      </c>
      <c r="L820" s="4">
        <v>15.0</v>
      </c>
      <c r="M820" s="4">
        <v>156.0</v>
      </c>
      <c r="N820" s="4">
        <v>723.0</v>
      </c>
      <c r="O820" s="4">
        <v>3635.0</v>
      </c>
    </row>
    <row r="821">
      <c r="A821" s="4">
        <v>8.3785632E9</v>
      </c>
      <c r="B821" s="5">
        <v>42473.0</v>
      </c>
      <c r="C821" s="4">
        <v>12386.0</v>
      </c>
      <c r="D821" s="4">
        <v>9.81999969482422</v>
      </c>
      <c r="E821" s="4">
        <v>9.81999969482422</v>
      </c>
      <c r="F821" s="4">
        <v>2.0921471118927</v>
      </c>
      <c r="G821" s="4">
        <v>4.96000003814697</v>
      </c>
      <c r="H821" s="4">
        <v>0.649999976158142</v>
      </c>
      <c r="I821" s="4">
        <v>4.21000003814697</v>
      </c>
      <c r="J821" s="4">
        <v>0.0</v>
      </c>
      <c r="K821" s="4">
        <v>116.0</v>
      </c>
      <c r="L821" s="4">
        <v>14.0</v>
      </c>
      <c r="M821" s="4">
        <v>169.0</v>
      </c>
      <c r="N821" s="4">
        <v>680.0</v>
      </c>
      <c r="O821" s="4">
        <v>4079.0</v>
      </c>
    </row>
    <row r="822">
      <c r="A822" s="4">
        <v>8.3785632E9</v>
      </c>
      <c r="B822" s="5">
        <v>42474.0</v>
      </c>
      <c r="C822" s="4">
        <v>13318.0</v>
      </c>
      <c r="D822" s="4">
        <v>10.5600004196167</v>
      </c>
      <c r="E822" s="4">
        <v>10.5600004196167</v>
      </c>
      <c r="F822" s="4">
        <v>2.25308108329773</v>
      </c>
      <c r="G822" s="4">
        <v>5.61999988555908</v>
      </c>
      <c r="H822" s="4">
        <v>1.02999997138977</v>
      </c>
      <c r="I822" s="4">
        <v>3.91000008583069</v>
      </c>
      <c r="J822" s="4">
        <v>0.0</v>
      </c>
      <c r="K822" s="4">
        <v>123.0</v>
      </c>
      <c r="L822" s="4">
        <v>21.0</v>
      </c>
      <c r="M822" s="4">
        <v>174.0</v>
      </c>
      <c r="N822" s="4">
        <v>699.0</v>
      </c>
      <c r="O822" s="4">
        <v>4163.0</v>
      </c>
    </row>
    <row r="823">
      <c r="A823" s="4">
        <v>8.3785632E9</v>
      </c>
      <c r="B823" s="5">
        <v>42475.0</v>
      </c>
      <c r="C823" s="4">
        <v>14461.0</v>
      </c>
      <c r="D823" s="4">
        <v>11.4700002670288</v>
      </c>
      <c r="E823" s="4">
        <v>11.4700002670288</v>
      </c>
      <c r="F823" s="4">
        <v>0.0</v>
      </c>
      <c r="G823" s="4">
        <v>4.90999984741211</v>
      </c>
      <c r="H823" s="4">
        <v>1.14999997615814</v>
      </c>
      <c r="I823" s="4">
        <v>5.40999984741211</v>
      </c>
      <c r="J823" s="4">
        <v>0.0</v>
      </c>
      <c r="K823" s="4">
        <v>60.0</v>
      </c>
      <c r="L823" s="4">
        <v>23.0</v>
      </c>
      <c r="M823" s="4">
        <v>190.0</v>
      </c>
      <c r="N823" s="4">
        <v>729.0</v>
      </c>
      <c r="O823" s="4">
        <v>3666.0</v>
      </c>
    </row>
    <row r="824">
      <c r="A824" s="4">
        <v>8.3785632E9</v>
      </c>
      <c r="B824" s="5">
        <v>42476.0</v>
      </c>
      <c r="C824" s="4">
        <v>11207.0</v>
      </c>
      <c r="D824" s="4">
        <v>8.89000034332275</v>
      </c>
      <c r="E824" s="4">
        <v>8.89000034332275</v>
      </c>
      <c r="F824" s="4">
        <v>0.0</v>
      </c>
      <c r="G824" s="4">
        <v>5.36999988555908</v>
      </c>
      <c r="H824" s="4">
        <v>1.07000005245209</v>
      </c>
      <c r="I824" s="4">
        <v>2.44000005722046</v>
      </c>
      <c r="J824" s="4">
        <v>0.0</v>
      </c>
      <c r="K824" s="4">
        <v>64.0</v>
      </c>
      <c r="L824" s="4">
        <v>21.0</v>
      </c>
      <c r="M824" s="4">
        <v>142.0</v>
      </c>
      <c r="N824" s="4">
        <v>563.0</v>
      </c>
      <c r="O824" s="4">
        <v>3363.0</v>
      </c>
    </row>
    <row r="825">
      <c r="A825" s="4">
        <v>8.3785632E9</v>
      </c>
      <c r="B825" s="5">
        <v>42477.0</v>
      </c>
      <c r="C825" s="4">
        <v>2132.0</v>
      </c>
      <c r="D825" s="4">
        <v>1.69000005722046</v>
      </c>
      <c r="E825" s="4">
        <v>1.69000005722046</v>
      </c>
      <c r="F825" s="4">
        <v>0.0</v>
      </c>
      <c r="G825" s="4">
        <v>0.0</v>
      </c>
      <c r="H825" s="4">
        <v>0.0</v>
      </c>
      <c r="I825" s="4">
        <v>1.69000005722046</v>
      </c>
      <c r="J825" s="4">
        <v>0.0</v>
      </c>
      <c r="K825" s="4">
        <v>0.0</v>
      </c>
      <c r="L825" s="4">
        <v>0.0</v>
      </c>
      <c r="M825" s="4">
        <v>93.0</v>
      </c>
      <c r="N825" s="4">
        <v>599.0</v>
      </c>
      <c r="O825" s="4">
        <v>2572.0</v>
      </c>
    </row>
    <row r="826">
      <c r="A826" s="4">
        <v>8.3785632E9</v>
      </c>
      <c r="B826" s="5">
        <v>42478.0</v>
      </c>
      <c r="C826" s="4">
        <v>13630.0</v>
      </c>
      <c r="D826" s="4">
        <v>10.8100004196167</v>
      </c>
      <c r="E826" s="4">
        <v>10.8100004196167</v>
      </c>
      <c r="F826" s="4">
        <v>2.0921471118927</v>
      </c>
      <c r="G826" s="4">
        <v>5.05000019073486</v>
      </c>
      <c r="H826" s="4">
        <v>0.560000002384186</v>
      </c>
      <c r="I826" s="4">
        <v>5.19999980926514</v>
      </c>
      <c r="J826" s="4">
        <v>0.0</v>
      </c>
      <c r="K826" s="4">
        <v>117.0</v>
      </c>
      <c r="L826" s="4">
        <v>10.0</v>
      </c>
      <c r="M826" s="4">
        <v>174.0</v>
      </c>
      <c r="N826" s="4">
        <v>720.0</v>
      </c>
      <c r="O826" s="4">
        <v>4157.0</v>
      </c>
    </row>
    <row r="827">
      <c r="A827" s="4">
        <v>8.3785632E9</v>
      </c>
      <c r="B827" s="5">
        <v>42479.0</v>
      </c>
      <c r="C827" s="4">
        <v>13070.0</v>
      </c>
      <c r="D827" s="4">
        <v>10.3599996566772</v>
      </c>
      <c r="E827" s="4">
        <v>10.3599996566772</v>
      </c>
      <c r="F827" s="4">
        <v>2.25308108329773</v>
      </c>
      <c r="G827" s="4">
        <v>5.30000019073486</v>
      </c>
      <c r="H827" s="4">
        <v>0.879999995231628</v>
      </c>
      <c r="I827" s="4">
        <v>4.17999982833862</v>
      </c>
      <c r="J827" s="4">
        <v>0.0</v>
      </c>
      <c r="K827" s="4">
        <v>120.0</v>
      </c>
      <c r="L827" s="4">
        <v>19.0</v>
      </c>
      <c r="M827" s="4">
        <v>154.0</v>
      </c>
      <c r="N827" s="4">
        <v>737.0</v>
      </c>
      <c r="O827" s="4">
        <v>4092.0</v>
      </c>
    </row>
    <row r="828">
      <c r="A828" s="4">
        <v>8.3785632E9</v>
      </c>
      <c r="B828" s="5">
        <v>42480.0</v>
      </c>
      <c r="C828" s="4">
        <v>9388.0</v>
      </c>
      <c r="D828" s="4">
        <v>7.44000005722046</v>
      </c>
      <c r="E828" s="4">
        <v>7.44000005722046</v>
      </c>
      <c r="F828" s="4">
        <v>2.0921471118927</v>
      </c>
      <c r="G828" s="4">
        <v>2.23000001907349</v>
      </c>
      <c r="H828" s="4">
        <v>0.439999997615814</v>
      </c>
      <c r="I828" s="4">
        <v>4.78000020980835</v>
      </c>
      <c r="J828" s="4">
        <v>0.0</v>
      </c>
      <c r="K828" s="4">
        <v>82.0</v>
      </c>
      <c r="L828" s="4">
        <v>8.0</v>
      </c>
      <c r="M828" s="4">
        <v>169.0</v>
      </c>
      <c r="N828" s="4">
        <v>763.0</v>
      </c>
      <c r="O828" s="4">
        <v>3787.0</v>
      </c>
    </row>
    <row r="829">
      <c r="A829" s="4">
        <v>8.3785632E9</v>
      </c>
      <c r="B829" s="5">
        <v>42481.0</v>
      </c>
      <c r="C829" s="4">
        <v>15148.0</v>
      </c>
      <c r="D829" s="4">
        <v>12.0100002288818</v>
      </c>
      <c r="E829" s="4">
        <v>12.0100002288818</v>
      </c>
      <c r="F829" s="4">
        <v>2.25308108329773</v>
      </c>
      <c r="G829" s="4">
        <v>6.90000009536743</v>
      </c>
      <c r="H829" s="4">
        <v>0.819999992847443</v>
      </c>
      <c r="I829" s="4">
        <v>4.28999996185303</v>
      </c>
      <c r="J829" s="4">
        <v>0.0</v>
      </c>
      <c r="K829" s="4">
        <v>137.0</v>
      </c>
      <c r="L829" s="4">
        <v>16.0</v>
      </c>
      <c r="M829" s="4">
        <v>145.0</v>
      </c>
      <c r="N829" s="4">
        <v>677.0</v>
      </c>
      <c r="O829" s="4">
        <v>4236.0</v>
      </c>
    </row>
    <row r="830">
      <c r="A830" s="4">
        <v>8.3785632E9</v>
      </c>
      <c r="B830" s="5">
        <v>42482.0</v>
      </c>
      <c r="C830" s="4">
        <v>12200.0</v>
      </c>
      <c r="D830" s="4">
        <v>9.67000007629395</v>
      </c>
      <c r="E830" s="4">
        <v>9.67000007629395</v>
      </c>
      <c r="F830" s="4">
        <v>2.0921471118927</v>
      </c>
      <c r="G830" s="4">
        <v>4.90999984741211</v>
      </c>
      <c r="H830" s="4">
        <v>0.589999973773956</v>
      </c>
      <c r="I830" s="4">
        <v>4.17999982833862</v>
      </c>
      <c r="J830" s="4">
        <v>0.0</v>
      </c>
      <c r="K830" s="4">
        <v>113.0</v>
      </c>
      <c r="L830" s="4">
        <v>12.0</v>
      </c>
      <c r="M830" s="4">
        <v>159.0</v>
      </c>
      <c r="N830" s="4">
        <v>769.0</v>
      </c>
      <c r="O830" s="4">
        <v>4044.0</v>
      </c>
    </row>
    <row r="831">
      <c r="A831" s="4">
        <v>8.3785632E9</v>
      </c>
      <c r="B831" s="5">
        <v>42483.0</v>
      </c>
      <c r="C831" s="4">
        <v>5709.0</v>
      </c>
      <c r="D831" s="4">
        <v>4.53000020980835</v>
      </c>
      <c r="E831" s="4">
        <v>4.53000020980835</v>
      </c>
      <c r="F831" s="4">
        <v>0.0</v>
      </c>
      <c r="G831" s="4">
        <v>1.51999998092651</v>
      </c>
      <c r="H831" s="4">
        <v>0.519999980926514</v>
      </c>
      <c r="I831" s="4">
        <v>2.48000001907349</v>
      </c>
      <c r="J831" s="4">
        <v>0.0</v>
      </c>
      <c r="K831" s="4">
        <v>19.0</v>
      </c>
      <c r="L831" s="4">
        <v>10.0</v>
      </c>
      <c r="M831" s="4">
        <v>136.0</v>
      </c>
      <c r="N831" s="4">
        <v>740.0</v>
      </c>
      <c r="O831" s="4">
        <v>2908.0</v>
      </c>
    </row>
    <row r="832">
      <c r="A832" s="4">
        <v>8.3785632E9</v>
      </c>
      <c r="B832" s="5">
        <v>42484.0</v>
      </c>
      <c r="C832" s="4">
        <v>3703.0</v>
      </c>
      <c r="D832" s="4">
        <v>2.94000005722046</v>
      </c>
      <c r="E832" s="4">
        <v>2.94000005722046</v>
      </c>
      <c r="F832" s="4">
        <v>0.0</v>
      </c>
      <c r="G832" s="4">
        <v>0.0</v>
      </c>
      <c r="H832" s="4">
        <v>0.0</v>
      </c>
      <c r="I832" s="4">
        <v>2.94000005722046</v>
      </c>
      <c r="J832" s="4">
        <v>0.0</v>
      </c>
      <c r="K832" s="4">
        <v>0.0</v>
      </c>
      <c r="L832" s="4">
        <v>0.0</v>
      </c>
      <c r="M832" s="4">
        <v>135.0</v>
      </c>
      <c r="N832" s="4">
        <v>734.0</v>
      </c>
      <c r="O832" s="4">
        <v>2741.0</v>
      </c>
    </row>
    <row r="833">
      <c r="A833" s="4">
        <v>8.3785632E9</v>
      </c>
      <c r="B833" s="5">
        <v>42485.0</v>
      </c>
      <c r="C833" s="4">
        <v>12405.0</v>
      </c>
      <c r="D833" s="4">
        <v>9.84000015258789</v>
      </c>
      <c r="E833" s="4">
        <v>9.84000015258789</v>
      </c>
      <c r="F833" s="4">
        <v>2.0921471118927</v>
      </c>
      <c r="G833" s="4">
        <v>5.05000019073486</v>
      </c>
      <c r="H833" s="4">
        <v>0.870000004768372</v>
      </c>
      <c r="I833" s="4">
        <v>3.92000007629395</v>
      </c>
      <c r="J833" s="4">
        <v>0.0</v>
      </c>
      <c r="K833" s="4">
        <v>117.0</v>
      </c>
      <c r="L833" s="4">
        <v>16.0</v>
      </c>
      <c r="M833" s="4">
        <v>141.0</v>
      </c>
      <c r="N833" s="4">
        <v>692.0</v>
      </c>
      <c r="O833" s="4">
        <v>4005.0</v>
      </c>
    </row>
    <row r="834">
      <c r="A834" s="4">
        <v>8.3785632E9</v>
      </c>
      <c r="B834" s="5">
        <v>42486.0</v>
      </c>
      <c r="C834" s="4">
        <v>16208.0</v>
      </c>
      <c r="D834" s="4">
        <v>12.8500003814697</v>
      </c>
      <c r="E834" s="4">
        <v>12.8500003814697</v>
      </c>
      <c r="F834" s="4">
        <v>0.0</v>
      </c>
      <c r="G834" s="4">
        <v>7.51000022888184</v>
      </c>
      <c r="H834" s="4">
        <v>0.920000016689301</v>
      </c>
      <c r="I834" s="4">
        <v>4.42000007629395</v>
      </c>
      <c r="J834" s="4">
        <v>0.0</v>
      </c>
      <c r="K834" s="4">
        <v>90.0</v>
      </c>
      <c r="L834" s="4">
        <v>18.0</v>
      </c>
      <c r="M834" s="4">
        <v>161.0</v>
      </c>
      <c r="N834" s="4">
        <v>593.0</v>
      </c>
      <c r="O834" s="4">
        <v>3763.0</v>
      </c>
    </row>
    <row r="835">
      <c r="A835" s="4">
        <v>8.3785632E9</v>
      </c>
      <c r="B835" s="5">
        <v>42487.0</v>
      </c>
      <c r="C835" s="4">
        <v>7359.0</v>
      </c>
      <c r="D835" s="4">
        <v>5.84000015258789</v>
      </c>
      <c r="E835" s="4">
        <v>5.84000015258789</v>
      </c>
      <c r="F835" s="4">
        <v>0.0</v>
      </c>
      <c r="G835" s="4">
        <v>0.330000013113022</v>
      </c>
      <c r="H835" s="4">
        <v>0.180000007152557</v>
      </c>
      <c r="I835" s="4">
        <v>5.32999992370605</v>
      </c>
      <c r="J835" s="4">
        <v>0.0</v>
      </c>
      <c r="K835" s="4">
        <v>4.0</v>
      </c>
      <c r="L835" s="4">
        <v>4.0</v>
      </c>
      <c r="M835" s="4">
        <v>192.0</v>
      </c>
      <c r="N835" s="4">
        <v>676.0</v>
      </c>
      <c r="O835" s="4">
        <v>3061.0</v>
      </c>
    </row>
    <row r="836">
      <c r="A836" s="4">
        <v>8.3785632E9</v>
      </c>
      <c r="B836" s="5">
        <v>42488.0</v>
      </c>
      <c r="C836" s="4">
        <v>5417.0</v>
      </c>
      <c r="D836" s="4">
        <v>4.30000019073486</v>
      </c>
      <c r="E836" s="4">
        <v>4.30000019073486</v>
      </c>
      <c r="F836" s="4">
        <v>0.0</v>
      </c>
      <c r="G836" s="4">
        <v>0.899999976158142</v>
      </c>
      <c r="H836" s="4">
        <v>0.490000009536743</v>
      </c>
      <c r="I836" s="4">
        <v>2.91000008583069</v>
      </c>
      <c r="J836" s="4">
        <v>0.0</v>
      </c>
      <c r="K836" s="4">
        <v>11.0</v>
      </c>
      <c r="L836" s="4">
        <v>10.0</v>
      </c>
      <c r="M836" s="4">
        <v>139.0</v>
      </c>
      <c r="N836" s="4">
        <v>711.0</v>
      </c>
      <c r="O836" s="4">
        <v>2884.0</v>
      </c>
    </row>
    <row r="837">
      <c r="A837" s="4">
        <v>8.3785632E9</v>
      </c>
      <c r="B837" s="5">
        <v>42489.0</v>
      </c>
      <c r="C837" s="4">
        <v>6175.0</v>
      </c>
      <c r="D837" s="4">
        <v>4.90000009536743</v>
      </c>
      <c r="E837" s="4">
        <v>4.90000009536743</v>
      </c>
      <c r="F837" s="4">
        <v>0.0</v>
      </c>
      <c r="G837" s="4">
        <v>0.25</v>
      </c>
      <c r="H837" s="4">
        <v>0.360000014305115</v>
      </c>
      <c r="I837" s="4">
        <v>4.26999998092651</v>
      </c>
      <c r="J837" s="4">
        <v>0.0</v>
      </c>
      <c r="K837" s="4">
        <v>3.0</v>
      </c>
      <c r="L837" s="4">
        <v>7.0</v>
      </c>
      <c r="M837" s="4">
        <v>172.0</v>
      </c>
      <c r="N837" s="4">
        <v>767.0</v>
      </c>
      <c r="O837" s="4">
        <v>2982.0</v>
      </c>
    </row>
    <row r="838">
      <c r="A838" s="4">
        <v>8.3785632E9</v>
      </c>
      <c r="B838" s="5">
        <v>42490.0</v>
      </c>
      <c r="C838" s="4">
        <v>2946.0</v>
      </c>
      <c r="D838" s="4">
        <v>2.33999991416931</v>
      </c>
      <c r="E838" s="4">
        <v>2.33999991416931</v>
      </c>
      <c r="F838" s="4">
        <v>0.0</v>
      </c>
      <c r="G838" s="4">
        <v>0.0</v>
      </c>
      <c r="H838" s="4">
        <v>0.0</v>
      </c>
      <c r="I838" s="4">
        <v>2.33999991416931</v>
      </c>
      <c r="J838" s="4">
        <v>0.0</v>
      </c>
      <c r="K838" s="4">
        <v>0.0</v>
      </c>
      <c r="L838" s="4">
        <v>0.0</v>
      </c>
      <c r="M838" s="4">
        <v>121.0</v>
      </c>
      <c r="N838" s="4">
        <v>780.0</v>
      </c>
      <c r="O838" s="4">
        <v>2660.0</v>
      </c>
    </row>
    <row r="839">
      <c r="A839" s="4">
        <v>8.3785632E9</v>
      </c>
      <c r="B839" s="5">
        <v>42491.0</v>
      </c>
      <c r="C839" s="4">
        <v>11419.0</v>
      </c>
      <c r="D839" s="4">
        <v>9.0600004196167</v>
      </c>
      <c r="E839" s="4">
        <v>9.0600004196167</v>
      </c>
      <c r="F839" s="4">
        <v>0.0</v>
      </c>
      <c r="G839" s="4">
        <v>6.03000020980835</v>
      </c>
      <c r="H839" s="4">
        <v>0.560000002384186</v>
      </c>
      <c r="I839" s="4">
        <v>2.47000002861023</v>
      </c>
      <c r="J839" s="4">
        <v>0.0</v>
      </c>
      <c r="K839" s="4">
        <v>71.0</v>
      </c>
      <c r="L839" s="4">
        <v>10.0</v>
      </c>
      <c r="M839" s="4">
        <v>127.0</v>
      </c>
      <c r="N839" s="4">
        <v>669.0</v>
      </c>
      <c r="O839" s="4">
        <v>3369.0</v>
      </c>
    </row>
    <row r="840">
      <c r="A840" s="4">
        <v>8.3785632E9</v>
      </c>
      <c r="B840" s="5">
        <v>42492.0</v>
      </c>
      <c r="C840" s="4">
        <v>6064.0</v>
      </c>
      <c r="D840" s="4">
        <v>4.80999994277954</v>
      </c>
      <c r="E840" s="4">
        <v>4.80999994277954</v>
      </c>
      <c r="F840" s="4">
        <v>2.0921471118927</v>
      </c>
      <c r="G840" s="4">
        <v>0.629999995231628</v>
      </c>
      <c r="H840" s="4">
        <v>0.170000001788139</v>
      </c>
      <c r="I840" s="4">
        <v>4.01000022888184</v>
      </c>
      <c r="J840" s="4">
        <v>0.0</v>
      </c>
      <c r="K840" s="4">
        <v>63.0</v>
      </c>
      <c r="L840" s="4">
        <v>4.0</v>
      </c>
      <c r="M840" s="4">
        <v>142.0</v>
      </c>
      <c r="N840" s="4">
        <v>802.0</v>
      </c>
      <c r="O840" s="4">
        <v>3491.0</v>
      </c>
    </row>
    <row r="841">
      <c r="A841" s="4">
        <v>8.3785632E9</v>
      </c>
      <c r="B841" s="5">
        <v>42493.0</v>
      </c>
      <c r="C841" s="4">
        <v>8712.0</v>
      </c>
      <c r="D841" s="4">
        <v>6.90999984741211</v>
      </c>
      <c r="E841" s="4">
        <v>6.90999984741211</v>
      </c>
      <c r="F841" s="4">
        <v>2.25308108329773</v>
      </c>
      <c r="G841" s="4">
        <v>1.3400000333786</v>
      </c>
      <c r="H841" s="4">
        <v>1.05999994277954</v>
      </c>
      <c r="I841" s="4">
        <v>4.5</v>
      </c>
      <c r="J841" s="4">
        <v>0.0</v>
      </c>
      <c r="K841" s="4">
        <v>71.0</v>
      </c>
      <c r="L841" s="4">
        <v>20.0</v>
      </c>
      <c r="M841" s="4">
        <v>195.0</v>
      </c>
      <c r="N841" s="4">
        <v>822.0</v>
      </c>
      <c r="O841" s="4">
        <v>3784.0</v>
      </c>
    </row>
    <row r="842">
      <c r="A842" s="4">
        <v>8.3785632E9</v>
      </c>
      <c r="B842" s="5">
        <v>42494.0</v>
      </c>
      <c r="C842" s="4">
        <v>7875.0</v>
      </c>
      <c r="D842" s="4">
        <v>6.23999977111816</v>
      </c>
      <c r="E842" s="4">
        <v>6.23999977111816</v>
      </c>
      <c r="F842" s="4">
        <v>0.0</v>
      </c>
      <c r="G842" s="4">
        <v>1.55999994277954</v>
      </c>
      <c r="H842" s="4">
        <v>0.490000009536743</v>
      </c>
      <c r="I842" s="4">
        <v>4.19999980926514</v>
      </c>
      <c r="J842" s="4">
        <v>0.0</v>
      </c>
      <c r="K842" s="4">
        <v>19.0</v>
      </c>
      <c r="L842" s="4">
        <v>10.0</v>
      </c>
      <c r="M842" s="4">
        <v>167.0</v>
      </c>
      <c r="N842" s="4">
        <v>680.0</v>
      </c>
      <c r="O842" s="4">
        <v>3110.0</v>
      </c>
    </row>
    <row r="843">
      <c r="A843" s="4">
        <v>8.3785632E9</v>
      </c>
      <c r="B843" s="5">
        <v>42495.0</v>
      </c>
      <c r="C843" s="4">
        <v>8567.0</v>
      </c>
      <c r="D843" s="4">
        <v>6.78999996185303</v>
      </c>
      <c r="E843" s="4">
        <v>6.78999996185303</v>
      </c>
      <c r="F843" s="4">
        <v>2.25308108329773</v>
      </c>
      <c r="G843" s="4">
        <v>0.889999985694885</v>
      </c>
      <c r="H843" s="4">
        <v>0.159999996423721</v>
      </c>
      <c r="I843" s="4">
        <v>5.73999977111816</v>
      </c>
      <c r="J843" s="4">
        <v>0.0</v>
      </c>
      <c r="K843" s="4">
        <v>66.0</v>
      </c>
      <c r="L843" s="4">
        <v>3.0</v>
      </c>
      <c r="M843" s="4">
        <v>214.0</v>
      </c>
      <c r="N843" s="4">
        <v>764.0</v>
      </c>
      <c r="O843" s="4">
        <v>3783.0</v>
      </c>
    </row>
    <row r="844">
      <c r="A844" s="4">
        <v>8.3785632E9</v>
      </c>
      <c r="B844" s="5">
        <v>42496.0</v>
      </c>
      <c r="C844" s="4">
        <v>7045.0</v>
      </c>
      <c r="D844" s="4">
        <v>5.59000015258789</v>
      </c>
      <c r="E844" s="4">
        <v>5.59000015258789</v>
      </c>
      <c r="F844" s="4">
        <v>2.0921471118927</v>
      </c>
      <c r="G844" s="4">
        <v>1.54999995231628</v>
      </c>
      <c r="H844" s="4">
        <v>0.25</v>
      </c>
      <c r="I844" s="4">
        <v>3.77999997138977</v>
      </c>
      <c r="J844" s="4">
        <v>0.0</v>
      </c>
      <c r="K844" s="4">
        <v>74.0</v>
      </c>
      <c r="L844" s="4">
        <v>5.0</v>
      </c>
      <c r="M844" s="4">
        <v>166.0</v>
      </c>
      <c r="N844" s="4">
        <v>831.0</v>
      </c>
      <c r="O844" s="4">
        <v>3644.0</v>
      </c>
    </row>
    <row r="845">
      <c r="A845" s="4">
        <v>8.3785632E9</v>
      </c>
      <c r="B845" s="5">
        <v>42497.0</v>
      </c>
      <c r="C845" s="4">
        <v>4468.0</v>
      </c>
      <c r="D845" s="4">
        <v>3.53999996185303</v>
      </c>
      <c r="E845" s="4">
        <v>3.53999996185303</v>
      </c>
      <c r="F845" s="4">
        <v>0.0</v>
      </c>
      <c r="G845" s="4">
        <v>0.0</v>
      </c>
      <c r="H845" s="4">
        <v>0.0</v>
      </c>
      <c r="I845" s="4">
        <v>3.53999996185303</v>
      </c>
      <c r="J845" s="4">
        <v>0.0</v>
      </c>
      <c r="K845" s="4">
        <v>0.0</v>
      </c>
      <c r="L845" s="4">
        <v>0.0</v>
      </c>
      <c r="M845" s="4">
        <v>158.0</v>
      </c>
      <c r="N845" s="4">
        <v>851.0</v>
      </c>
      <c r="O845" s="4">
        <v>2799.0</v>
      </c>
    </row>
    <row r="846">
      <c r="A846" s="4">
        <v>8.3785632E9</v>
      </c>
      <c r="B846" s="5">
        <v>42498.0</v>
      </c>
      <c r="C846" s="4">
        <v>2943.0</v>
      </c>
      <c r="D846" s="4">
        <v>2.32999992370605</v>
      </c>
      <c r="E846" s="4">
        <v>2.32999992370605</v>
      </c>
      <c r="F846" s="4">
        <v>0.0</v>
      </c>
      <c r="G846" s="4">
        <v>0.0</v>
      </c>
      <c r="H846" s="4">
        <v>0.0</v>
      </c>
      <c r="I846" s="4">
        <v>2.32999992370605</v>
      </c>
      <c r="J846" s="4">
        <v>0.0</v>
      </c>
      <c r="K846" s="4">
        <v>0.0</v>
      </c>
      <c r="L846" s="4">
        <v>0.0</v>
      </c>
      <c r="M846" s="4">
        <v>139.0</v>
      </c>
      <c r="N846" s="4">
        <v>621.0</v>
      </c>
      <c r="O846" s="4">
        <v>2685.0</v>
      </c>
    </row>
    <row r="847">
      <c r="A847" s="4">
        <v>8.3785632E9</v>
      </c>
      <c r="B847" s="5">
        <v>42499.0</v>
      </c>
      <c r="C847" s="4">
        <v>8382.0</v>
      </c>
      <c r="D847" s="4">
        <v>6.65000009536743</v>
      </c>
      <c r="E847" s="4">
        <v>6.65000009536743</v>
      </c>
      <c r="F847" s="4">
        <v>2.0921471118927</v>
      </c>
      <c r="G847" s="4">
        <v>1.26999998092651</v>
      </c>
      <c r="H847" s="4">
        <v>0.660000026226044</v>
      </c>
      <c r="I847" s="4">
        <v>4.71999979019165</v>
      </c>
      <c r="J847" s="4">
        <v>0.0</v>
      </c>
      <c r="K847" s="4">
        <v>71.0</v>
      </c>
      <c r="L847" s="4">
        <v>13.0</v>
      </c>
      <c r="M847" s="4">
        <v>171.0</v>
      </c>
      <c r="N847" s="4">
        <v>772.0</v>
      </c>
      <c r="O847" s="4">
        <v>3721.0</v>
      </c>
    </row>
    <row r="848">
      <c r="A848" s="4">
        <v>8.3785632E9</v>
      </c>
      <c r="B848" s="5">
        <v>42500.0</v>
      </c>
      <c r="C848" s="4">
        <v>6582.0</v>
      </c>
      <c r="D848" s="4">
        <v>5.21999979019165</v>
      </c>
      <c r="E848" s="4">
        <v>5.21999979019165</v>
      </c>
      <c r="F848" s="4">
        <v>2.25308108329773</v>
      </c>
      <c r="G848" s="4">
        <v>0.660000026226044</v>
      </c>
      <c r="H848" s="4">
        <v>0.639999985694885</v>
      </c>
      <c r="I848" s="4">
        <v>3.92000007629395</v>
      </c>
      <c r="J848" s="4">
        <v>0.0</v>
      </c>
      <c r="K848" s="4">
        <v>63.0</v>
      </c>
      <c r="L848" s="4">
        <v>13.0</v>
      </c>
      <c r="M848" s="4">
        <v>152.0</v>
      </c>
      <c r="N848" s="4">
        <v>840.0</v>
      </c>
      <c r="O848" s="4">
        <v>3586.0</v>
      </c>
    </row>
    <row r="849">
      <c r="A849" s="4">
        <v>8.3785632E9</v>
      </c>
      <c r="B849" s="5">
        <v>42501.0</v>
      </c>
      <c r="C849" s="4">
        <v>9143.0</v>
      </c>
      <c r="D849" s="4">
        <v>7.25</v>
      </c>
      <c r="E849" s="4">
        <v>7.25</v>
      </c>
      <c r="F849" s="4">
        <v>2.0921471118927</v>
      </c>
      <c r="G849" s="4">
        <v>1.38999998569489</v>
      </c>
      <c r="H849" s="4">
        <v>0.589999973773956</v>
      </c>
      <c r="I849" s="4">
        <v>5.26999998092651</v>
      </c>
      <c r="J849" s="4">
        <v>0.0</v>
      </c>
      <c r="K849" s="4">
        <v>72.0</v>
      </c>
      <c r="L849" s="4">
        <v>10.0</v>
      </c>
      <c r="M849" s="4">
        <v>184.0</v>
      </c>
      <c r="N849" s="4">
        <v>763.0</v>
      </c>
      <c r="O849" s="4">
        <v>3788.0</v>
      </c>
    </row>
    <row r="850">
      <c r="A850" s="4">
        <v>8.3785632E9</v>
      </c>
      <c r="B850" s="5">
        <v>42502.0</v>
      </c>
      <c r="C850" s="4">
        <v>4561.0</v>
      </c>
      <c r="D850" s="4">
        <v>3.61999988555908</v>
      </c>
      <c r="E850" s="4">
        <v>3.61999988555908</v>
      </c>
      <c r="F850" s="4">
        <v>0.0</v>
      </c>
      <c r="G850" s="4">
        <v>0.649999976158142</v>
      </c>
      <c r="H850" s="4">
        <v>0.270000010728836</v>
      </c>
      <c r="I850" s="4">
        <v>2.69000005722046</v>
      </c>
      <c r="J850" s="4">
        <v>0.0</v>
      </c>
      <c r="K850" s="4">
        <v>8.0</v>
      </c>
      <c r="L850" s="4">
        <v>6.0</v>
      </c>
      <c r="M850" s="4">
        <v>102.0</v>
      </c>
      <c r="N850" s="4">
        <v>433.0</v>
      </c>
      <c r="O850" s="4">
        <v>1976.0</v>
      </c>
    </row>
    <row r="851">
      <c r="A851" s="4">
        <v>8.583815059E9</v>
      </c>
      <c r="B851" s="5">
        <v>42472.0</v>
      </c>
      <c r="C851" s="4">
        <v>5014.0</v>
      </c>
      <c r="D851" s="4">
        <v>3.91000008583069</v>
      </c>
      <c r="E851" s="4">
        <v>3.91000008583069</v>
      </c>
      <c r="F851" s="4">
        <v>0.0</v>
      </c>
      <c r="G851" s="4">
        <v>0.0</v>
      </c>
      <c r="H851" s="4">
        <v>0.330000013113022</v>
      </c>
      <c r="I851" s="4">
        <v>3.57999992370605</v>
      </c>
      <c r="J851" s="4">
        <v>0.0</v>
      </c>
      <c r="K851" s="4">
        <v>0.0</v>
      </c>
      <c r="L851" s="4">
        <v>7.0</v>
      </c>
      <c r="M851" s="4">
        <v>196.0</v>
      </c>
      <c r="N851" s="4">
        <v>1237.0</v>
      </c>
      <c r="O851" s="4">
        <v>2650.0</v>
      </c>
    </row>
    <row r="852">
      <c r="A852" s="4">
        <v>8.583815059E9</v>
      </c>
      <c r="B852" s="5">
        <v>42473.0</v>
      </c>
      <c r="C852" s="4">
        <v>5571.0</v>
      </c>
      <c r="D852" s="4">
        <v>4.34999990463257</v>
      </c>
      <c r="E852" s="4">
        <v>4.34999990463257</v>
      </c>
      <c r="F852" s="4">
        <v>0.0</v>
      </c>
      <c r="G852" s="4">
        <v>0.150000005960464</v>
      </c>
      <c r="H852" s="4">
        <v>0.970000028610229</v>
      </c>
      <c r="I852" s="4">
        <v>3.23000001907349</v>
      </c>
      <c r="J852" s="4">
        <v>0.0</v>
      </c>
      <c r="K852" s="4">
        <v>2.0</v>
      </c>
      <c r="L852" s="4">
        <v>23.0</v>
      </c>
      <c r="M852" s="4">
        <v>163.0</v>
      </c>
      <c r="N852" s="4">
        <v>1252.0</v>
      </c>
      <c r="O852" s="4">
        <v>2654.0</v>
      </c>
    </row>
    <row r="853">
      <c r="A853" s="4">
        <v>8.583815059E9</v>
      </c>
      <c r="B853" s="5">
        <v>42474.0</v>
      </c>
      <c r="C853" s="4">
        <v>3135.0</v>
      </c>
      <c r="D853" s="4">
        <v>2.45000004768372</v>
      </c>
      <c r="E853" s="4">
        <v>2.45000004768372</v>
      </c>
      <c r="F853" s="4">
        <v>0.0</v>
      </c>
      <c r="G853" s="4">
        <v>0.0</v>
      </c>
      <c r="H853" s="4">
        <v>0.0</v>
      </c>
      <c r="I853" s="4">
        <v>2.4300000667572</v>
      </c>
      <c r="J853" s="4">
        <v>0.0</v>
      </c>
      <c r="K853" s="4">
        <v>0.0</v>
      </c>
      <c r="L853" s="4">
        <v>0.0</v>
      </c>
      <c r="M853" s="4">
        <v>134.0</v>
      </c>
      <c r="N853" s="4">
        <v>1306.0</v>
      </c>
      <c r="O853" s="4">
        <v>2443.0</v>
      </c>
    </row>
    <row r="854">
      <c r="A854" s="4">
        <v>8.583815059E9</v>
      </c>
      <c r="B854" s="5">
        <v>42475.0</v>
      </c>
      <c r="C854" s="4">
        <v>3430.0</v>
      </c>
      <c r="D854" s="4">
        <v>2.6800000667572</v>
      </c>
      <c r="E854" s="4">
        <v>2.6800000667572</v>
      </c>
      <c r="F854" s="4">
        <v>0.0</v>
      </c>
      <c r="G854" s="4">
        <v>0.0</v>
      </c>
      <c r="H854" s="4">
        <v>0.0</v>
      </c>
      <c r="I854" s="4">
        <v>0.899999976158142</v>
      </c>
      <c r="J854" s="4">
        <v>0.0</v>
      </c>
      <c r="K854" s="4">
        <v>0.0</v>
      </c>
      <c r="L854" s="4">
        <v>0.0</v>
      </c>
      <c r="M854" s="4">
        <v>65.0</v>
      </c>
      <c r="N854" s="4">
        <v>1375.0</v>
      </c>
      <c r="O854" s="4">
        <v>2505.0</v>
      </c>
    </row>
    <row r="855">
      <c r="A855" s="4">
        <v>8.583815059E9</v>
      </c>
      <c r="B855" s="5">
        <v>42476.0</v>
      </c>
      <c r="C855" s="4">
        <v>5319.0</v>
      </c>
      <c r="D855" s="4">
        <v>4.15000009536743</v>
      </c>
      <c r="E855" s="4">
        <v>4.15000009536743</v>
      </c>
      <c r="F855" s="4">
        <v>0.0</v>
      </c>
      <c r="G855" s="4">
        <v>0.0</v>
      </c>
      <c r="H855" s="4">
        <v>0.0</v>
      </c>
      <c r="I855" s="4">
        <v>0.0</v>
      </c>
      <c r="J855" s="4">
        <v>0.0</v>
      </c>
      <c r="K855" s="4">
        <v>0.0</v>
      </c>
      <c r="L855" s="4">
        <v>0.0</v>
      </c>
      <c r="M855" s="4">
        <v>0.0</v>
      </c>
      <c r="N855" s="4">
        <v>1440.0</v>
      </c>
      <c r="O855" s="4">
        <v>2693.0</v>
      </c>
    </row>
    <row r="856">
      <c r="A856" s="4">
        <v>8.583815059E9</v>
      </c>
      <c r="B856" s="5">
        <v>42477.0</v>
      </c>
      <c r="C856" s="4">
        <v>3008.0</v>
      </c>
      <c r="D856" s="4">
        <v>2.34999990463257</v>
      </c>
      <c r="E856" s="4">
        <v>2.34999990463257</v>
      </c>
      <c r="F856" s="4">
        <v>0.0</v>
      </c>
      <c r="G856" s="4">
        <v>0.0</v>
      </c>
      <c r="H856" s="4">
        <v>0.0</v>
      </c>
      <c r="I856" s="4">
        <v>0.0</v>
      </c>
      <c r="J856" s="4">
        <v>0.0</v>
      </c>
      <c r="K856" s="4">
        <v>0.0</v>
      </c>
      <c r="L856" s="4">
        <v>0.0</v>
      </c>
      <c r="M856" s="4">
        <v>0.0</v>
      </c>
      <c r="N856" s="4">
        <v>1440.0</v>
      </c>
      <c r="O856" s="4">
        <v>2439.0</v>
      </c>
    </row>
    <row r="857">
      <c r="A857" s="4">
        <v>8.583815059E9</v>
      </c>
      <c r="B857" s="5">
        <v>42478.0</v>
      </c>
      <c r="C857" s="4">
        <v>3864.0</v>
      </c>
      <c r="D857" s="4">
        <v>3.00999999046326</v>
      </c>
      <c r="E857" s="4">
        <v>3.00999999046326</v>
      </c>
      <c r="F857" s="4">
        <v>0.0</v>
      </c>
      <c r="G857" s="4">
        <v>0.310000002384186</v>
      </c>
      <c r="H857" s="4">
        <v>1.05999994277954</v>
      </c>
      <c r="I857" s="4">
        <v>1.35000002384186</v>
      </c>
      <c r="J857" s="4">
        <v>0.0</v>
      </c>
      <c r="K857" s="4">
        <v>4.0</v>
      </c>
      <c r="L857" s="4">
        <v>22.0</v>
      </c>
      <c r="M857" s="4">
        <v>105.0</v>
      </c>
      <c r="N857" s="4">
        <v>1309.0</v>
      </c>
      <c r="O857" s="4">
        <v>2536.0</v>
      </c>
    </row>
    <row r="858">
      <c r="A858" s="4">
        <v>8.583815059E9</v>
      </c>
      <c r="B858" s="5">
        <v>42479.0</v>
      </c>
      <c r="C858" s="4">
        <v>5697.0</v>
      </c>
      <c r="D858" s="4">
        <v>4.44000005722046</v>
      </c>
      <c r="E858" s="4">
        <v>4.44000005722046</v>
      </c>
      <c r="F858" s="4">
        <v>0.0</v>
      </c>
      <c r="G858" s="4">
        <v>0.529999971389771</v>
      </c>
      <c r="H858" s="4">
        <v>0.479999989271164</v>
      </c>
      <c r="I858" s="4">
        <v>3.44000005722046</v>
      </c>
      <c r="J858" s="4">
        <v>0.0</v>
      </c>
      <c r="K858" s="4">
        <v>7.0</v>
      </c>
      <c r="L858" s="4">
        <v>10.0</v>
      </c>
      <c r="M858" s="4">
        <v>166.0</v>
      </c>
      <c r="N858" s="4">
        <v>1257.0</v>
      </c>
      <c r="O858" s="4">
        <v>2668.0</v>
      </c>
    </row>
    <row r="859">
      <c r="A859" s="4">
        <v>8.583815059E9</v>
      </c>
      <c r="B859" s="5">
        <v>42480.0</v>
      </c>
      <c r="C859" s="4">
        <v>5273.0</v>
      </c>
      <c r="D859" s="4">
        <v>4.1100001335144</v>
      </c>
      <c r="E859" s="4">
        <v>4.1100001335144</v>
      </c>
      <c r="F859" s="4">
        <v>0.0</v>
      </c>
      <c r="G859" s="4">
        <v>0.0</v>
      </c>
      <c r="H859" s="4">
        <v>1.03999996185303</v>
      </c>
      <c r="I859" s="4">
        <v>3.0699999332428</v>
      </c>
      <c r="J859" s="4">
        <v>0.0</v>
      </c>
      <c r="K859" s="4">
        <v>0.0</v>
      </c>
      <c r="L859" s="4">
        <v>27.0</v>
      </c>
      <c r="M859" s="4">
        <v>167.0</v>
      </c>
      <c r="N859" s="4">
        <v>1246.0</v>
      </c>
      <c r="O859" s="4">
        <v>2647.0</v>
      </c>
    </row>
    <row r="860">
      <c r="A860" s="4">
        <v>8.583815059E9</v>
      </c>
      <c r="B860" s="5">
        <v>42481.0</v>
      </c>
      <c r="C860" s="4">
        <v>8538.0</v>
      </c>
      <c r="D860" s="4">
        <v>6.65999984741211</v>
      </c>
      <c r="E860" s="4">
        <v>6.65999984741211</v>
      </c>
      <c r="F860" s="4">
        <v>0.0</v>
      </c>
      <c r="G860" s="4">
        <v>2.63000011444092</v>
      </c>
      <c r="H860" s="4">
        <v>1.01999998092651</v>
      </c>
      <c r="I860" s="4">
        <v>3.00999999046326</v>
      </c>
      <c r="J860" s="4">
        <v>0.0</v>
      </c>
      <c r="K860" s="4">
        <v>35.0</v>
      </c>
      <c r="L860" s="4">
        <v>18.0</v>
      </c>
      <c r="M860" s="4">
        <v>158.0</v>
      </c>
      <c r="N860" s="4">
        <v>1229.0</v>
      </c>
      <c r="O860" s="4">
        <v>2883.0</v>
      </c>
    </row>
    <row r="861">
      <c r="A861" s="4">
        <v>8.583815059E9</v>
      </c>
      <c r="B861" s="5">
        <v>42482.0</v>
      </c>
      <c r="C861" s="4">
        <v>8687.0</v>
      </c>
      <c r="D861" s="4">
        <v>6.78000020980835</v>
      </c>
      <c r="E861" s="4">
        <v>6.78000020980835</v>
      </c>
      <c r="F861" s="4">
        <v>0.0</v>
      </c>
      <c r="G861" s="4">
        <v>0.28999999165535</v>
      </c>
      <c r="H861" s="4">
        <v>2.41000008583069</v>
      </c>
      <c r="I861" s="4">
        <v>4.07999992370605</v>
      </c>
      <c r="J861" s="4">
        <v>0.0</v>
      </c>
      <c r="K861" s="4">
        <v>4.0</v>
      </c>
      <c r="L861" s="4">
        <v>54.0</v>
      </c>
      <c r="M861" s="4">
        <v>212.0</v>
      </c>
      <c r="N861" s="4">
        <v>1170.0</v>
      </c>
      <c r="O861" s="4">
        <v>2944.0</v>
      </c>
    </row>
    <row r="862">
      <c r="A862" s="4">
        <v>8.583815059E9</v>
      </c>
      <c r="B862" s="5">
        <v>42483.0</v>
      </c>
      <c r="C862" s="4">
        <v>9423.0</v>
      </c>
      <c r="D862" s="4">
        <v>7.34999990463257</v>
      </c>
      <c r="E862" s="4">
        <v>7.34999990463257</v>
      </c>
      <c r="F862" s="4">
        <v>0.0</v>
      </c>
      <c r="G862" s="4">
        <v>0.529999971389771</v>
      </c>
      <c r="H862" s="4">
        <v>2.02999997138977</v>
      </c>
      <c r="I862" s="4">
        <v>4.75</v>
      </c>
      <c r="J862" s="4">
        <v>0.0</v>
      </c>
      <c r="K862" s="4">
        <v>7.0</v>
      </c>
      <c r="L862" s="4">
        <v>44.0</v>
      </c>
      <c r="M862" s="4">
        <v>238.0</v>
      </c>
      <c r="N862" s="4">
        <v>1151.0</v>
      </c>
      <c r="O862" s="4">
        <v>3012.0</v>
      </c>
    </row>
    <row r="863">
      <c r="A863" s="4">
        <v>8.583815059E9</v>
      </c>
      <c r="B863" s="5">
        <v>42484.0</v>
      </c>
      <c r="C863" s="4">
        <v>8286.0</v>
      </c>
      <c r="D863" s="4">
        <v>6.46000003814697</v>
      </c>
      <c r="E863" s="4">
        <v>6.46000003814697</v>
      </c>
      <c r="F863" s="4">
        <v>0.0</v>
      </c>
      <c r="G863" s="4">
        <v>0.150000005960464</v>
      </c>
      <c r="H863" s="4">
        <v>2.04999995231628</v>
      </c>
      <c r="I863" s="4">
        <v>4.26999998092651</v>
      </c>
      <c r="J863" s="4">
        <v>0.0</v>
      </c>
      <c r="K863" s="4">
        <v>2.0</v>
      </c>
      <c r="L863" s="4">
        <v>44.0</v>
      </c>
      <c r="M863" s="4">
        <v>206.0</v>
      </c>
      <c r="N863" s="4">
        <v>1188.0</v>
      </c>
      <c r="O863" s="4">
        <v>2889.0</v>
      </c>
    </row>
    <row r="864">
      <c r="A864" s="4">
        <v>8.583815059E9</v>
      </c>
      <c r="B864" s="5">
        <v>42485.0</v>
      </c>
      <c r="C864" s="4">
        <v>4503.0</v>
      </c>
      <c r="D864" s="4">
        <v>3.50999999046326</v>
      </c>
      <c r="E864" s="4">
        <v>3.50999999046326</v>
      </c>
      <c r="F864" s="4">
        <v>0.0</v>
      </c>
      <c r="G864" s="4">
        <v>1.47000002861023</v>
      </c>
      <c r="H864" s="4">
        <v>0.239999994635582</v>
      </c>
      <c r="I864" s="4">
        <v>1.80999994277954</v>
      </c>
      <c r="J864" s="4">
        <v>0.0</v>
      </c>
      <c r="K864" s="4">
        <v>18.0</v>
      </c>
      <c r="L864" s="4">
        <v>6.0</v>
      </c>
      <c r="M864" s="4">
        <v>122.0</v>
      </c>
      <c r="N864" s="4">
        <v>1294.0</v>
      </c>
      <c r="O864" s="4">
        <v>2547.0</v>
      </c>
    </row>
    <row r="865">
      <c r="A865" s="4">
        <v>8.583815059E9</v>
      </c>
      <c r="B865" s="5">
        <v>42486.0</v>
      </c>
      <c r="C865" s="4">
        <v>10499.0</v>
      </c>
      <c r="D865" s="4">
        <v>8.1899995803833</v>
      </c>
      <c r="E865" s="4">
        <v>8.1899995803833</v>
      </c>
      <c r="F865" s="4">
        <v>0.0</v>
      </c>
      <c r="G865" s="4">
        <v>0.0700000002980232</v>
      </c>
      <c r="H865" s="4">
        <v>4.21999979019165</v>
      </c>
      <c r="I865" s="4">
        <v>3.89000010490417</v>
      </c>
      <c r="J865" s="4">
        <v>0.0</v>
      </c>
      <c r="K865" s="4">
        <v>1.0</v>
      </c>
      <c r="L865" s="4">
        <v>91.0</v>
      </c>
      <c r="M865" s="4">
        <v>214.0</v>
      </c>
      <c r="N865" s="4">
        <v>1134.0</v>
      </c>
      <c r="O865" s="4">
        <v>3093.0</v>
      </c>
    </row>
    <row r="866">
      <c r="A866" s="4">
        <v>8.583815059E9</v>
      </c>
      <c r="B866" s="5">
        <v>42487.0</v>
      </c>
      <c r="C866" s="4">
        <v>12474.0</v>
      </c>
      <c r="D866" s="4">
        <v>9.72999954223633</v>
      </c>
      <c r="E866" s="4">
        <v>9.72999954223633</v>
      </c>
      <c r="F866" s="4">
        <v>0.0</v>
      </c>
      <c r="G866" s="4">
        <v>6.59999990463257</v>
      </c>
      <c r="H866" s="4">
        <v>0.270000010728836</v>
      </c>
      <c r="I866" s="4">
        <v>2.86999988555908</v>
      </c>
      <c r="J866" s="4">
        <v>0.0</v>
      </c>
      <c r="K866" s="4">
        <v>77.0</v>
      </c>
      <c r="L866" s="4">
        <v>5.0</v>
      </c>
      <c r="M866" s="4">
        <v>129.0</v>
      </c>
      <c r="N866" s="4">
        <v>1229.0</v>
      </c>
      <c r="O866" s="4">
        <v>3142.0</v>
      </c>
    </row>
    <row r="867">
      <c r="A867" s="4">
        <v>8.583815059E9</v>
      </c>
      <c r="B867" s="5">
        <v>42488.0</v>
      </c>
      <c r="C867" s="4">
        <v>6174.0</v>
      </c>
      <c r="D867" s="4">
        <v>4.82000017166138</v>
      </c>
      <c r="E867" s="4">
        <v>4.82000017166138</v>
      </c>
      <c r="F867" s="4">
        <v>0.0</v>
      </c>
      <c r="G867" s="4">
        <v>0.0</v>
      </c>
      <c r="H867" s="4">
        <v>1.20000004768372</v>
      </c>
      <c r="I867" s="4">
        <v>3.60999989509583</v>
      </c>
      <c r="J867" s="4">
        <v>0.0</v>
      </c>
      <c r="K867" s="4">
        <v>0.0</v>
      </c>
      <c r="L867" s="4">
        <v>28.0</v>
      </c>
      <c r="M867" s="4">
        <v>203.0</v>
      </c>
      <c r="N867" s="4">
        <v>1209.0</v>
      </c>
      <c r="O867" s="4">
        <v>2757.0</v>
      </c>
    </row>
    <row r="868">
      <c r="A868" s="4">
        <v>8.583815059E9</v>
      </c>
      <c r="B868" s="5">
        <v>42489.0</v>
      </c>
      <c r="C868" s="4">
        <v>15168.0</v>
      </c>
      <c r="D868" s="4">
        <v>11.8299999237061</v>
      </c>
      <c r="E868" s="4">
        <v>11.8299999237061</v>
      </c>
      <c r="F868" s="4">
        <v>0.0</v>
      </c>
      <c r="G868" s="4">
        <v>3.90000009536743</v>
      </c>
      <c r="H868" s="4">
        <v>3.0</v>
      </c>
      <c r="I868" s="4">
        <v>4.92000007629395</v>
      </c>
      <c r="J868" s="4">
        <v>0.0</v>
      </c>
      <c r="K868" s="4">
        <v>46.0</v>
      </c>
      <c r="L868" s="4">
        <v>67.0</v>
      </c>
      <c r="M868" s="4">
        <v>258.0</v>
      </c>
      <c r="N868" s="4">
        <v>1069.0</v>
      </c>
      <c r="O868" s="4">
        <v>3513.0</v>
      </c>
    </row>
    <row r="869">
      <c r="A869" s="4">
        <v>8.583815059E9</v>
      </c>
      <c r="B869" s="5">
        <v>42490.0</v>
      </c>
      <c r="C869" s="4">
        <v>10085.0</v>
      </c>
      <c r="D869" s="4">
        <v>7.86999988555908</v>
      </c>
      <c r="E869" s="4">
        <v>7.86999988555908</v>
      </c>
      <c r="F869" s="4">
        <v>0.0</v>
      </c>
      <c r="G869" s="4">
        <v>0.150000005960464</v>
      </c>
      <c r="H869" s="4">
        <v>1.27999997138977</v>
      </c>
      <c r="I869" s="4">
        <v>6.42999982833862</v>
      </c>
      <c r="J869" s="4">
        <v>0.0</v>
      </c>
      <c r="K869" s="4">
        <v>2.0</v>
      </c>
      <c r="L869" s="4">
        <v>28.0</v>
      </c>
      <c r="M869" s="4">
        <v>317.0</v>
      </c>
      <c r="N869" s="4">
        <v>1093.0</v>
      </c>
      <c r="O869" s="4">
        <v>3164.0</v>
      </c>
    </row>
    <row r="870">
      <c r="A870" s="4">
        <v>8.583815059E9</v>
      </c>
      <c r="B870" s="5">
        <v>42491.0</v>
      </c>
      <c r="C870" s="4">
        <v>4512.0</v>
      </c>
      <c r="D870" s="4">
        <v>3.51999998092651</v>
      </c>
      <c r="E870" s="4">
        <v>3.51999998092651</v>
      </c>
      <c r="F870" s="4">
        <v>0.0</v>
      </c>
      <c r="G870" s="4">
        <v>0.779999971389771</v>
      </c>
      <c r="H870" s="4">
        <v>0.119999997317791</v>
      </c>
      <c r="I870" s="4">
        <v>2.03999996185303</v>
      </c>
      <c r="J870" s="4">
        <v>0.0</v>
      </c>
      <c r="K870" s="4">
        <v>10.0</v>
      </c>
      <c r="L870" s="4">
        <v>2.0</v>
      </c>
      <c r="M870" s="4">
        <v>117.0</v>
      </c>
      <c r="N870" s="4">
        <v>1311.0</v>
      </c>
      <c r="O870" s="4">
        <v>2596.0</v>
      </c>
    </row>
    <row r="871">
      <c r="A871" s="4">
        <v>8.583815059E9</v>
      </c>
      <c r="B871" s="5">
        <v>42492.0</v>
      </c>
      <c r="C871" s="4">
        <v>8469.0</v>
      </c>
      <c r="D871" s="4">
        <v>6.6100001335144</v>
      </c>
      <c r="E871" s="4">
        <v>6.6100001335144</v>
      </c>
      <c r="F871" s="4">
        <v>0.0</v>
      </c>
      <c r="G871" s="4">
        <v>0.0</v>
      </c>
      <c r="H871" s="4">
        <v>0.0</v>
      </c>
      <c r="I871" s="4">
        <v>0.0</v>
      </c>
      <c r="J871" s="4">
        <v>0.0</v>
      </c>
      <c r="K871" s="4">
        <v>0.0</v>
      </c>
      <c r="L871" s="4">
        <v>0.0</v>
      </c>
      <c r="M871" s="4">
        <v>0.0</v>
      </c>
      <c r="N871" s="4">
        <v>1440.0</v>
      </c>
      <c r="O871" s="4">
        <v>2894.0</v>
      </c>
    </row>
    <row r="872">
      <c r="A872" s="4">
        <v>8.583815059E9</v>
      </c>
      <c r="B872" s="5">
        <v>42493.0</v>
      </c>
      <c r="C872" s="4">
        <v>12015.0</v>
      </c>
      <c r="D872" s="4">
        <v>9.36999988555908</v>
      </c>
      <c r="E872" s="4">
        <v>9.36999988555908</v>
      </c>
      <c r="F872" s="4">
        <v>0.0</v>
      </c>
      <c r="G872" s="4">
        <v>0.0</v>
      </c>
      <c r="H872" s="4">
        <v>0.0</v>
      </c>
      <c r="I872" s="4">
        <v>0.0</v>
      </c>
      <c r="J872" s="4">
        <v>0.0</v>
      </c>
      <c r="K872" s="4">
        <v>0.0</v>
      </c>
      <c r="L872" s="4">
        <v>0.0</v>
      </c>
      <c r="M872" s="4">
        <v>0.0</v>
      </c>
      <c r="N872" s="4">
        <v>1440.0</v>
      </c>
      <c r="O872" s="4">
        <v>3212.0</v>
      </c>
    </row>
    <row r="873">
      <c r="A873" s="4">
        <v>8.583815059E9</v>
      </c>
      <c r="B873" s="5">
        <v>42494.0</v>
      </c>
      <c r="C873" s="4">
        <v>3588.0</v>
      </c>
      <c r="D873" s="4">
        <v>2.79999995231628</v>
      </c>
      <c r="E873" s="4">
        <v>2.79999995231628</v>
      </c>
      <c r="F873" s="4">
        <v>0.0</v>
      </c>
      <c r="G873" s="4">
        <v>0.0</v>
      </c>
      <c r="H873" s="4">
        <v>0.0</v>
      </c>
      <c r="I873" s="4">
        <v>0.0</v>
      </c>
      <c r="J873" s="4">
        <v>0.0</v>
      </c>
      <c r="K873" s="4">
        <v>0.0</v>
      </c>
      <c r="L873" s="4">
        <v>0.0</v>
      </c>
      <c r="M873" s="4">
        <v>0.0</v>
      </c>
      <c r="N873" s="4">
        <v>1440.0</v>
      </c>
      <c r="O873" s="4">
        <v>2516.0</v>
      </c>
    </row>
    <row r="874">
      <c r="A874" s="4">
        <v>8.583815059E9</v>
      </c>
      <c r="B874" s="5">
        <v>42495.0</v>
      </c>
      <c r="C874" s="4">
        <v>12427.0</v>
      </c>
      <c r="D874" s="4">
        <v>9.6899995803833</v>
      </c>
      <c r="E874" s="4">
        <v>9.6899995803833</v>
      </c>
      <c r="F874" s="4">
        <v>0.0</v>
      </c>
      <c r="G874" s="4">
        <v>0.0</v>
      </c>
      <c r="H874" s="4">
        <v>0.0</v>
      </c>
      <c r="I874" s="4">
        <v>1.17999994754791</v>
      </c>
      <c r="J874" s="4">
        <v>0.0</v>
      </c>
      <c r="K874" s="4">
        <v>0.0</v>
      </c>
      <c r="L874" s="4">
        <v>0.0</v>
      </c>
      <c r="M874" s="4">
        <v>70.0</v>
      </c>
      <c r="N874" s="4">
        <v>1370.0</v>
      </c>
      <c r="O874" s="4">
        <v>3266.0</v>
      </c>
    </row>
    <row r="875">
      <c r="A875" s="4">
        <v>8.583815059E9</v>
      </c>
      <c r="B875" s="5">
        <v>42496.0</v>
      </c>
      <c r="C875" s="4">
        <v>5843.0</v>
      </c>
      <c r="D875" s="4">
        <v>4.55999994277954</v>
      </c>
      <c r="E875" s="4">
        <v>4.55999994277954</v>
      </c>
      <c r="F875" s="4">
        <v>0.0</v>
      </c>
      <c r="G875" s="4">
        <v>0.140000000596046</v>
      </c>
      <c r="H875" s="4">
        <v>1.19000005722046</v>
      </c>
      <c r="I875" s="4">
        <v>3.23000001907349</v>
      </c>
      <c r="J875" s="4">
        <v>0.0</v>
      </c>
      <c r="K875" s="4">
        <v>2.0</v>
      </c>
      <c r="L875" s="4">
        <v>22.0</v>
      </c>
      <c r="M875" s="4">
        <v>166.0</v>
      </c>
      <c r="N875" s="4">
        <v>1250.0</v>
      </c>
      <c r="O875" s="4">
        <v>2683.0</v>
      </c>
    </row>
    <row r="876">
      <c r="A876" s="4">
        <v>8.583815059E9</v>
      </c>
      <c r="B876" s="5">
        <v>42497.0</v>
      </c>
      <c r="C876" s="4">
        <v>6117.0</v>
      </c>
      <c r="D876" s="4">
        <v>4.76999998092651</v>
      </c>
      <c r="E876" s="4">
        <v>4.76999998092651</v>
      </c>
      <c r="F876" s="4">
        <v>0.0</v>
      </c>
      <c r="G876" s="4">
        <v>0.0</v>
      </c>
      <c r="H876" s="4">
        <v>0.0</v>
      </c>
      <c r="I876" s="4">
        <v>4.76999998092651</v>
      </c>
      <c r="J876" s="4">
        <v>0.0</v>
      </c>
      <c r="K876" s="4">
        <v>0.0</v>
      </c>
      <c r="L876" s="4">
        <v>0.0</v>
      </c>
      <c r="M876" s="4">
        <v>250.0</v>
      </c>
      <c r="N876" s="4">
        <v>1190.0</v>
      </c>
      <c r="O876" s="4">
        <v>2810.0</v>
      </c>
    </row>
    <row r="877">
      <c r="A877" s="4">
        <v>8.583815059E9</v>
      </c>
      <c r="B877" s="5">
        <v>42498.0</v>
      </c>
      <c r="C877" s="4">
        <v>9217.0</v>
      </c>
      <c r="D877" s="4">
        <v>7.19000005722046</v>
      </c>
      <c r="E877" s="4">
        <v>7.19000005722046</v>
      </c>
      <c r="F877" s="4">
        <v>0.0</v>
      </c>
      <c r="G877" s="4">
        <v>0.219999998807907</v>
      </c>
      <c r="H877" s="4">
        <v>3.30999994277954</v>
      </c>
      <c r="I877" s="4">
        <v>3.66000008583069</v>
      </c>
      <c r="J877" s="4">
        <v>0.0</v>
      </c>
      <c r="K877" s="4">
        <v>3.0</v>
      </c>
      <c r="L877" s="4">
        <v>72.0</v>
      </c>
      <c r="M877" s="4">
        <v>182.0</v>
      </c>
      <c r="N877" s="4">
        <v>1183.0</v>
      </c>
      <c r="O877" s="4">
        <v>2940.0</v>
      </c>
    </row>
    <row r="878">
      <c r="A878" s="4">
        <v>8.583815059E9</v>
      </c>
      <c r="B878" s="5">
        <v>42499.0</v>
      </c>
      <c r="C878" s="4">
        <v>9877.0</v>
      </c>
      <c r="D878" s="4">
        <v>7.69999980926514</v>
      </c>
      <c r="E878" s="4">
        <v>7.69999980926514</v>
      </c>
      <c r="F878" s="4">
        <v>0.0</v>
      </c>
      <c r="G878" s="4">
        <v>5.76000022888184</v>
      </c>
      <c r="H878" s="4">
        <v>0.170000001788139</v>
      </c>
      <c r="I878" s="4">
        <v>1.73000001907349</v>
      </c>
      <c r="J878" s="4">
        <v>0.0</v>
      </c>
      <c r="K878" s="4">
        <v>66.0</v>
      </c>
      <c r="L878" s="4">
        <v>4.0</v>
      </c>
      <c r="M878" s="4">
        <v>110.0</v>
      </c>
      <c r="N878" s="4">
        <v>1260.0</v>
      </c>
      <c r="O878" s="4">
        <v>2947.0</v>
      </c>
    </row>
    <row r="879">
      <c r="A879" s="4">
        <v>8.583815059E9</v>
      </c>
      <c r="B879" s="5">
        <v>42500.0</v>
      </c>
      <c r="C879" s="4">
        <v>8240.0</v>
      </c>
      <c r="D879" s="4">
        <v>6.42999982833862</v>
      </c>
      <c r="E879" s="4">
        <v>6.42999982833862</v>
      </c>
      <c r="F879" s="4">
        <v>0.0</v>
      </c>
      <c r="G879" s="4">
        <v>0.689999997615814</v>
      </c>
      <c r="H879" s="4">
        <v>2.00999999046326</v>
      </c>
      <c r="I879" s="4">
        <v>3.72000002861023</v>
      </c>
      <c r="J879" s="4">
        <v>0.0</v>
      </c>
      <c r="K879" s="4">
        <v>9.0</v>
      </c>
      <c r="L879" s="4">
        <v>43.0</v>
      </c>
      <c r="M879" s="4">
        <v>162.0</v>
      </c>
      <c r="N879" s="4">
        <v>1226.0</v>
      </c>
      <c r="O879" s="4">
        <v>2846.0</v>
      </c>
    </row>
    <row r="880">
      <c r="A880" s="4">
        <v>8.583815059E9</v>
      </c>
      <c r="B880" s="5">
        <v>42501.0</v>
      </c>
      <c r="C880" s="4">
        <v>8701.0</v>
      </c>
      <c r="D880" s="4">
        <v>6.78999996185303</v>
      </c>
      <c r="E880" s="4">
        <v>6.78999996185303</v>
      </c>
      <c r="F880" s="4">
        <v>0.0</v>
      </c>
      <c r="G880" s="4">
        <v>0.370000004768372</v>
      </c>
      <c r="H880" s="4">
        <v>3.24000000953674</v>
      </c>
      <c r="I880" s="4">
        <v>3.17000007629395</v>
      </c>
      <c r="J880" s="4">
        <v>0.0</v>
      </c>
      <c r="K880" s="4">
        <v>5.0</v>
      </c>
      <c r="L880" s="4">
        <v>71.0</v>
      </c>
      <c r="M880" s="4">
        <v>177.0</v>
      </c>
      <c r="N880" s="4">
        <v>1106.0</v>
      </c>
      <c r="O880" s="4">
        <v>2804.0</v>
      </c>
    </row>
    <row r="881">
      <c r="A881" s="4">
        <v>8.583815059E9</v>
      </c>
      <c r="B881" s="5">
        <v>42502.0</v>
      </c>
      <c r="C881" s="4">
        <v>0.0</v>
      </c>
      <c r="D881" s="4">
        <v>0.0</v>
      </c>
      <c r="E881" s="4">
        <v>0.0</v>
      </c>
      <c r="F881" s="4">
        <v>0.0</v>
      </c>
      <c r="G881" s="4">
        <v>0.0</v>
      </c>
      <c r="H881" s="4">
        <v>0.0</v>
      </c>
      <c r="I881" s="4">
        <v>0.0</v>
      </c>
      <c r="J881" s="4">
        <v>0.0</v>
      </c>
      <c r="K881" s="4">
        <v>0.0</v>
      </c>
      <c r="L881" s="4">
        <v>0.0</v>
      </c>
      <c r="M881" s="4">
        <v>0.0</v>
      </c>
      <c r="N881" s="4">
        <v>1440.0</v>
      </c>
      <c r="O881" s="4">
        <v>0.0</v>
      </c>
    </row>
    <row r="882">
      <c r="A882" s="4">
        <v>8.792009665E9</v>
      </c>
      <c r="B882" s="5">
        <v>42472.0</v>
      </c>
      <c r="C882" s="4">
        <v>2564.0</v>
      </c>
      <c r="D882" s="4">
        <v>1.63999998569489</v>
      </c>
      <c r="E882" s="4">
        <v>1.63999998569489</v>
      </c>
      <c r="F882" s="4">
        <v>0.0</v>
      </c>
      <c r="G882" s="4">
        <v>0.0</v>
      </c>
      <c r="H882" s="4">
        <v>0.0</v>
      </c>
      <c r="I882" s="4">
        <v>1.63999998569489</v>
      </c>
      <c r="J882" s="4">
        <v>0.0</v>
      </c>
      <c r="K882" s="4">
        <v>0.0</v>
      </c>
      <c r="L882" s="4">
        <v>0.0</v>
      </c>
      <c r="M882" s="4">
        <v>116.0</v>
      </c>
      <c r="N882" s="4">
        <v>831.0</v>
      </c>
      <c r="O882" s="4">
        <v>2044.0</v>
      </c>
    </row>
    <row r="883">
      <c r="A883" s="4">
        <v>8.792009665E9</v>
      </c>
      <c r="B883" s="5">
        <v>42473.0</v>
      </c>
      <c r="C883" s="4">
        <v>1320.0</v>
      </c>
      <c r="D883" s="4">
        <v>0.839999973773956</v>
      </c>
      <c r="E883" s="4">
        <v>0.839999973773956</v>
      </c>
      <c r="F883" s="4">
        <v>0.0</v>
      </c>
      <c r="G883" s="4">
        <v>0.0</v>
      </c>
      <c r="H883" s="4">
        <v>0.0</v>
      </c>
      <c r="I883" s="4">
        <v>0.839999973773956</v>
      </c>
      <c r="J883" s="4">
        <v>0.0</v>
      </c>
      <c r="K883" s="4">
        <v>0.0</v>
      </c>
      <c r="L883" s="4">
        <v>0.0</v>
      </c>
      <c r="M883" s="4">
        <v>82.0</v>
      </c>
      <c r="N883" s="4">
        <v>806.0</v>
      </c>
      <c r="O883" s="4">
        <v>1934.0</v>
      </c>
    </row>
    <row r="884">
      <c r="A884" s="4">
        <v>8.792009665E9</v>
      </c>
      <c r="B884" s="5">
        <v>42474.0</v>
      </c>
      <c r="C884" s="4">
        <v>1219.0</v>
      </c>
      <c r="D884" s="4">
        <v>0.779999971389771</v>
      </c>
      <c r="E884" s="4">
        <v>0.779999971389771</v>
      </c>
      <c r="F884" s="4">
        <v>0.0</v>
      </c>
      <c r="G884" s="4">
        <v>0.0</v>
      </c>
      <c r="H884" s="4">
        <v>0.0</v>
      </c>
      <c r="I884" s="4">
        <v>0.779999971389771</v>
      </c>
      <c r="J884" s="4">
        <v>0.0</v>
      </c>
      <c r="K884" s="4">
        <v>0.0</v>
      </c>
      <c r="L884" s="4">
        <v>0.0</v>
      </c>
      <c r="M884" s="4">
        <v>84.0</v>
      </c>
      <c r="N884" s="4">
        <v>853.0</v>
      </c>
      <c r="O884" s="4">
        <v>1963.0</v>
      </c>
    </row>
    <row r="885">
      <c r="A885" s="4">
        <v>8.792009665E9</v>
      </c>
      <c r="B885" s="5">
        <v>42475.0</v>
      </c>
      <c r="C885" s="4">
        <v>2483.0</v>
      </c>
      <c r="D885" s="4">
        <v>1.5900000333786</v>
      </c>
      <c r="E885" s="4">
        <v>1.5900000333786</v>
      </c>
      <c r="F885" s="4">
        <v>0.0</v>
      </c>
      <c r="G885" s="4">
        <v>0.0</v>
      </c>
      <c r="H885" s="4">
        <v>0.0</v>
      </c>
      <c r="I885" s="4">
        <v>1.5900000333786</v>
      </c>
      <c r="J885" s="4">
        <v>0.0</v>
      </c>
      <c r="K885" s="4">
        <v>0.0</v>
      </c>
      <c r="L885" s="4">
        <v>0.0</v>
      </c>
      <c r="M885" s="4">
        <v>126.0</v>
      </c>
      <c r="N885" s="4">
        <v>937.0</v>
      </c>
      <c r="O885" s="4">
        <v>2009.0</v>
      </c>
    </row>
    <row r="886">
      <c r="A886" s="4">
        <v>8.792009665E9</v>
      </c>
      <c r="B886" s="5">
        <v>42476.0</v>
      </c>
      <c r="C886" s="4">
        <v>244.0</v>
      </c>
      <c r="D886" s="4">
        <v>0.159999996423721</v>
      </c>
      <c r="E886" s="4">
        <v>0.159999996423721</v>
      </c>
      <c r="F886" s="4">
        <v>0.0</v>
      </c>
      <c r="G886" s="4">
        <v>0.0</v>
      </c>
      <c r="H886" s="4">
        <v>0.0</v>
      </c>
      <c r="I886" s="4">
        <v>0.159999996423721</v>
      </c>
      <c r="J886" s="4">
        <v>0.0</v>
      </c>
      <c r="K886" s="4">
        <v>0.0</v>
      </c>
      <c r="L886" s="4">
        <v>0.0</v>
      </c>
      <c r="M886" s="4">
        <v>12.0</v>
      </c>
      <c r="N886" s="4">
        <v>1428.0</v>
      </c>
      <c r="O886" s="4">
        <v>1721.0</v>
      </c>
    </row>
    <row r="887">
      <c r="A887" s="4">
        <v>8.792009665E9</v>
      </c>
      <c r="B887" s="5">
        <v>42477.0</v>
      </c>
      <c r="C887" s="4">
        <v>0.0</v>
      </c>
      <c r="D887" s="4">
        <v>0.0</v>
      </c>
      <c r="E887" s="4">
        <v>0.0</v>
      </c>
      <c r="F887" s="4">
        <v>0.0</v>
      </c>
      <c r="G887" s="4">
        <v>0.0</v>
      </c>
      <c r="H887" s="4">
        <v>0.0</v>
      </c>
      <c r="I887" s="4">
        <v>0.0</v>
      </c>
      <c r="J887" s="4">
        <v>0.0</v>
      </c>
      <c r="K887" s="4">
        <v>0.0</v>
      </c>
      <c r="L887" s="4">
        <v>0.0</v>
      </c>
      <c r="M887" s="4">
        <v>0.0</v>
      </c>
      <c r="N887" s="4">
        <v>1440.0</v>
      </c>
      <c r="O887" s="4">
        <v>1688.0</v>
      </c>
    </row>
    <row r="888">
      <c r="A888" s="4">
        <v>8.792009665E9</v>
      </c>
      <c r="B888" s="5">
        <v>42478.0</v>
      </c>
      <c r="C888" s="4">
        <v>0.0</v>
      </c>
      <c r="D888" s="4">
        <v>0.0</v>
      </c>
      <c r="E888" s="4">
        <v>0.0</v>
      </c>
      <c r="F888" s="4">
        <v>0.0</v>
      </c>
      <c r="G888" s="4">
        <v>0.0</v>
      </c>
      <c r="H888" s="4">
        <v>0.0</v>
      </c>
      <c r="I888" s="4">
        <v>0.0</v>
      </c>
      <c r="J888" s="4">
        <v>0.0</v>
      </c>
      <c r="K888" s="4">
        <v>0.0</v>
      </c>
      <c r="L888" s="4">
        <v>0.0</v>
      </c>
      <c r="M888" s="4">
        <v>0.0</v>
      </c>
      <c r="N888" s="4">
        <v>1440.0</v>
      </c>
      <c r="O888" s="4">
        <v>1688.0</v>
      </c>
    </row>
    <row r="889">
      <c r="A889" s="4">
        <v>8.792009665E9</v>
      </c>
      <c r="B889" s="5">
        <v>42479.0</v>
      </c>
      <c r="C889" s="4">
        <v>0.0</v>
      </c>
      <c r="D889" s="4">
        <v>0.0</v>
      </c>
      <c r="E889" s="4">
        <v>0.0</v>
      </c>
      <c r="F889" s="4">
        <v>0.0</v>
      </c>
      <c r="G889" s="4">
        <v>0.0</v>
      </c>
      <c r="H889" s="4">
        <v>0.0</v>
      </c>
      <c r="I889" s="4">
        <v>0.0</v>
      </c>
      <c r="J889" s="4">
        <v>0.0</v>
      </c>
      <c r="K889" s="4">
        <v>0.0</v>
      </c>
      <c r="L889" s="4">
        <v>0.0</v>
      </c>
      <c r="M889" s="4">
        <v>0.0</v>
      </c>
      <c r="N889" s="4">
        <v>1440.0</v>
      </c>
      <c r="O889" s="4">
        <v>1688.0</v>
      </c>
    </row>
    <row r="890">
      <c r="A890" s="4">
        <v>8.792009665E9</v>
      </c>
      <c r="B890" s="5">
        <v>42480.0</v>
      </c>
      <c r="C890" s="4">
        <v>3147.0</v>
      </c>
      <c r="D890" s="4">
        <v>2.00999999046326</v>
      </c>
      <c r="E890" s="4">
        <v>2.00999999046326</v>
      </c>
      <c r="F890" s="4">
        <v>0.0</v>
      </c>
      <c r="G890" s="4">
        <v>0.0</v>
      </c>
      <c r="H890" s="4">
        <v>0.280000001192093</v>
      </c>
      <c r="I890" s="4">
        <v>1.74000000953674</v>
      </c>
      <c r="J890" s="4">
        <v>0.0</v>
      </c>
      <c r="K890" s="4">
        <v>0.0</v>
      </c>
      <c r="L890" s="4">
        <v>10.0</v>
      </c>
      <c r="M890" s="4">
        <v>139.0</v>
      </c>
      <c r="N890" s="4">
        <v>744.0</v>
      </c>
      <c r="O890" s="4">
        <v>2188.0</v>
      </c>
    </row>
    <row r="891">
      <c r="A891" s="4">
        <v>8.792009665E9</v>
      </c>
      <c r="B891" s="5">
        <v>42481.0</v>
      </c>
      <c r="C891" s="4">
        <v>144.0</v>
      </c>
      <c r="D891" s="4">
        <v>0.0900000035762787</v>
      </c>
      <c r="E891" s="4">
        <v>0.0900000035762787</v>
      </c>
      <c r="F891" s="4">
        <v>0.0</v>
      </c>
      <c r="G891" s="4">
        <v>0.0</v>
      </c>
      <c r="H891" s="4">
        <v>0.0</v>
      </c>
      <c r="I891" s="4">
        <v>0.0900000035762787</v>
      </c>
      <c r="J891" s="4">
        <v>0.0</v>
      </c>
      <c r="K891" s="4">
        <v>0.0</v>
      </c>
      <c r="L891" s="4">
        <v>0.0</v>
      </c>
      <c r="M891" s="4">
        <v>9.0</v>
      </c>
      <c r="N891" s="4">
        <v>1431.0</v>
      </c>
      <c r="O891" s="4">
        <v>1720.0</v>
      </c>
    </row>
    <row r="892">
      <c r="A892" s="4">
        <v>8.792009665E9</v>
      </c>
      <c r="B892" s="5">
        <v>42482.0</v>
      </c>
      <c r="C892" s="4">
        <v>4068.0</v>
      </c>
      <c r="D892" s="4">
        <v>2.59999990463257</v>
      </c>
      <c r="E892" s="4">
        <v>2.59999990463257</v>
      </c>
      <c r="F892" s="4">
        <v>0.0</v>
      </c>
      <c r="G892" s="4">
        <v>0.0500000007450581</v>
      </c>
      <c r="H892" s="4">
        <v>0.280000001192093</v>
      </c>
      <c r="I892" s="4">
        <v>2.26999998092651</v>
      </c>
      <c r="J892" s="4">
        <v>0.0</v>
      </c>
      <c r="K892" s="4">
        <v>1.0</v>
      </c>
      <c r="L892" s="4">
        <v>20.0</v>
      </c>
      <c r="M892" s="4">
        <v>195.0</v>
      </c>
      <c r="N892" s="4">
        <v>817.0</v>
      </c>
      <c r="O892" s="4">
        <v>2419.0</v>
      </c>
    </row>
    <row r="893">
      <c r="A893" s="4">
        <v>8.792009665E9</v>
      </c>
      <c r="B893" s="5">
        <v>42483.0</v>
      </c>
      <c r="C893" s="4">
        <v>5245.0</v>
      </c>
      <c r="D893" s="4">
        <v>3.35999989509583</v>
      </c>
      <c r="E893" s="4">
        <v>3.35999989509583</v>
      </c>
      <c r="F893" s="4">
        <v>0.0</v>
      </c>
      <c r="G893" s="4">
        <v>0.159999996423721</v>
      </c>
      <c r="H893" s="4">
        <v>0.439999997615814</v>
      </c>
      <c r="I893" s="4">
        <v>2.75</v>
      </c>
      <c r="J893" s="4">
        <v>0.0</v>
      </c>
      <c r="K893" s="4">
        <v>8.0</v>
      </c>
      <c r="L893" s="4">
        <v>45.0</v>
      </c>
      <c r="M893" s="4">
        <v>232.0</v>
      </c>
      <c r="N893" s="4">
        <v>795.0</v>
      </c>
      <c r="O893" s="4">
        <v>2748.0</v>
      </c>
    </row>
    <row r="894">
      <c r="A894" s="4">
        <v>8.792009665E9</v>
      </c>
      <c r="B894" s="5">
        <v>42484.0</v>
      </c>
      <c r="C894" s="4">
        <v>400.0</v>
      </c>
      <c r="D894" s="4">
        <v>0.259999990463257</v>
      </c>
      <c r="E894" s="4">
        <v>0.259999990463257</v>
      </c>
      <c r="F894" s="4">
        <v>0.0</v>
      </c>
      <c r="G894" s="4">
        <v>0.0399999991059303</v>
      </c>
      <c r="H894" s="4">
        <v>0.0500000007450581</v>
      </c>
      <c r="I894" s="4">
        <v>0.159999996423721</v>
      </c>
      <c r="J894" s="4">
        <v>0.0</v>
      </c>
      <c r="K894" s="4">
        <v>3.0</v>
      </c>
      <c r="L894" s="4">
        <v>8.0</v>
      </c>
      <c r="M894" s="4">
        <v>19.0</v>
      </c>
      <c r="N894" s="4">
        <v>1410.0</v>
      </c>
      <c r="O894" s="4">
        <v>1799.0</v>
      </c>
    </row>
    <row r="895">
      <c r="A895" s="4">
        <v>8.792009665E9</v>
      </c>
      <c r="B895" s="5">
        <v>42485.0</v>
      </c>
      <c r="C895" s="4">
        <v>0.0</v>
      </c>
      <c r="D895" s="4">
        <v>0.0</v>
      </c>
      <c r="E895" s="4">
        <v>0.0</v>
      </c>
      <c r="F895" s="4">
        <v>0.0</v>
      </c>
      <c r="G895" s="4">
        <v>0.0</v>
      </c>
      <c r="H895" s="4">
        <v>0.0</v>
      </c>
      <c r="I895" s="4">
        <v>0.0</v>
      </c>
      <c r="J895" s="4">
        <v>0.0</v>
      </c>
      <c r="K895" s="4">
        <v>0.0</v>
      </c>
      <c r="L895" s="4">
        <v>0.0</v>
      </c>
      <c r="M895" s="4">
        <v>0.0</v>
      </c>
      <c r="N895" s="4">
        <v>1440.0</v>
      </c>
      <c r="O895" s="4">
        <v>1688.0</v>
      </c>
    </row>
    <row r="896">
      <c r="A896" s="4">
        <v>8.792009665E9</v>
      </c>
      <c r="B896" s="5">
        <v>42486.0</v>
      </c>
      <c r="C896" s="4">
        <v>1321.0</v>
      </c>
      <c r="D896" s="4">
        <v>0.850000023841858</v>
      </c>
      <c r="E896" s="4">
        <v>0.850000023841858</v>
      </c>
      <c r="F896" s="4">
        <v>0.0</v>
      </c>
      <c r="G896" s="4">
        <v>0.0</v>
      </c>
      <c r="H896" s="4">
        <v>0.0</v>
      </c>
      <c r="I896" s="4">
        <v>0.850000023841858</v>
      </c>
      <c r="J896" s="4">
        <v>0.0</v>
      </c>
      <c r="K896" s="4">
        <v>0.0</v>
      </c>
      <c r="L896" s="4">
        <v>0.0</v>
      </c>
      <c r="M896" s="4">
        <v>80.0</v>
      </c>
      <c r="N896" s="4">
        <v>1360.0</v>
      </c>
      <c r="O896" s="4">
        <v>1928.0</v>
      </c>
    </row>
    <row r="897">
      <c r="A897" s="4">
        <v>8.792009665E9</v>
      </c>
      <c r="B897" s="5">
        <v>42487.0</v>
      </c>
      <c r="C897" s="4">
        <v>1758.0</v>
      </c>
      <c r="D897" s="4">
        <v>1.12999999523163</v>
      </c>
      <c r="E897" s="4">
        <v>1.12999999523163</v>
      </c>
      <c r="F897" s="4">
        <v>0.0</v>
      </c>
      <c r="G897" s="4">
        <v>0.0</v>
      </c>
      <c r="H897" s="4">
        <v>0.0</v>
      </c>
      <c r="I897" s="4">
        <v>1.12999999523163</v>
      </c>
      <c r="J897" s="4">
        <v>0.0</v>
      </c>
      <c r="K897" s="4">
        <v>0.0</v>
      </c>
      <c r="L897" s="4">
        <v>0.0</v>
      </c>
      <c r="M897" s="4">
        <v>112.0</v>
      </c>
      <c r="N897" s="4">
        <v>900.0</v>
      </c>
      <c r="O897" s="4">
        <v>2067.0</v>
      </c>
    </row>
    <row r="898">
      <c r="A898" s="4">
        <v>8.792009665E9</v>
      </c>
      <c r="B898" s="5">
        <v>42488.0</v>
      </c>
      <c r="C898" s="4">
        <v>6157.0</v>
      </c>
      <c r="D898" s="4">
        <v>3.94000005722046</v>
      </c>
      <c r="E898" s="4">
        <v>3.94000005722046</v>
      </c>
      <c r="F898" s="4">
        <v>0.0</v>
      </c>
      <c r="G898" s="4">
        <v>0.0</v>
      </c>
      <c r="H898" s="4">
        <v>0.0</v>
      </c>
      <c r="I898" s="4">
        <v>3.94000005722046</v>
      </c>
      <c r="J898" s="4">
        <v>0.0</v>
      </c>
      <c r="K898" s="4">
        <v>0.0</v>
      </c>
      <c r="L898" s="4">
        <v>0.0</v>
      </c>
      <c r="M898" s="4">
        <v>310.0</v>
      </c>
      <c r="N898" s="4">
        <v>714.0</v>
      </c>
      <c r="O898" s="4">
        <v>2780.0</v>
      </c>
    </row>
    <row r="899">
      <c r="A899" s="4">
        <v>8.792009665E9</v>
      </c>
      <c r="B899" s="5">
        <v>42489.0</v>
      </c>
      <c r="C899" s="4">
        <v>8360.0</v>
      </c>
      <c r="D899" s="4">
        <v>5.34999990463257</v>
      </c>
      <c r="E899" s="4">
        <v>5.34999990463257</v>
      </c>
      <c r="F899" s="4">
        <v>0.0</v>
      </c>
      <c r="G899" s="4">
        <v>0.140000000596046</v>
      </c>
      <c r="H899" s="4">
        <v>0.280000001192093</v>
      </c>
      <c r="I899" s="4">
        <v>4.92999982833862</v>
      </c>
      <c r="J899" s="4">
        <v>0.0</v>
      </c>
      <c r="K899" s="4">
        <v>6.0</v>
      </c>
      <c r="L899" s="4">
        <v>14.0</v>
      </c>
      <c r="M899" s="4">
        <v>380.0</v>
      </c>
      <c r="N899" s="4">
        <v>634.0</v>
      </c>
      <c r="O899" s="4">
        <v>3101.0</v>
      </c>
    </row>
    <row r="900">
      <c r="A900" s="4">
        <v>8.792009665E9</v>
      </c>
      <c r="B900" s="5">
        <v>42490.0</v>
      </c>
      <c r="C900" s="4">
        <v>7174.0</v>
      </c>
      <c r="D900" s="4">
        <v>4.59000015258789</v>
      </c>
      <c r="E900" s="4">
        <v>4.59000015258789</v>
      </c>
      <c r="F900" s="4">
        <v>0.0</v>
      </c>
      <c r="G900" s="4">
        <v>0.330000013113022</v>
      </c>
      <c r="H900" s="4">
        <v>0.360000014305115</v>
      </c>
      <c r="I900" s="4">
        <v>3.91000008583069</v>
      </c>
      <c r="J900" s="4">
        <v>0.0</v>
      </c>
      <c r="K900" s="4">
        <v>10.0</v>
      </c>
      <c r="L900" s="4">
        <v>20.0</v>
      </c>
      <c r="M900" s="4">
        <v>301.0</v>
      </c>
      <c r="N900" s="4">
        <v>749.0</v>
      </c>
      <c r="O900" s="4">
        <v>2896.0</v>
      </c>
    </row>
    <row r="901">
      <c r="A901" s="4">
        <v>8.792009665E9</v>
      </c>
      <c r="B901" s="5">
        <v>42491.0</v>
      </c>
      <c r="C901" s="4">
        <v>1619.0</v>
      </c>
      <c r="D901" s="4">
        <v>1.03999996185303</v>
      </c>
      <c r="E901" s="4">
        <v>1.03999996185303</v>
      </c>
      <c r="F901" s="4">
        <v>0.0</v>
      </c>
      <c r="G901" s="4">
        <v>0.0</v>
      </c>
      <c r="H901" s="4">
        <v>0.0</v>
      </c>
      <c r="I901" s="4">
        <v>1.03999996185303</v>
      </c>
      <c r="J901" s="4">
        <v>0.0</v>
      </c>
      <c r="K901" s="4">
        <v>0.0</v>
      </c>
      <c r="L901" s="4">
        <v>0.0</v>
      </c>
      <c r="M901" s="4">
        <v>79.0</v>
      </c>
      <c r="N901" s="4">
        <v>834.0</v>
      </c>
      <c r="O901" s="4">
        <v>1962.0</v>
      </c>
    </row>
    <row r="902">
      <c r="A902" s="4">
        <v>8.792009665E9</v>
      </c>
      <c r="B902" s="5">
        <v>42492.0</v>
      </c>
      <c r="C902" s="4">
        <v>1831.0</v>
      </c>
      <c r="D902" s="4">
        <v>1.16999995708466</v>
      </c>
      <c r="E902" s="4">
        <v>1.16999995708466</v>
      </c>
      <c r="F902" s="4">
        <v>0.0</v>
      </c>
      <c r="G902" s="4">
        <v>0.0</v>
      </c>
      <c r="H902" s="4">
        <v>0.0</v>
      </c>
      <c r="I902" s="4">
        <v>1.16999995708466</v>
      </c>
      <c r="J902" s="4">
        <v>0.0</v>
      </c>
      <c r="K902" s="4">
        <v>0.0</v>
      </c>
      <c r="L902" s="4">
        <v>0.0</v>
      </c>
      <c r="M902" s="4">
        <v>101.0</v>
      </c>
      <c r="N902" s="4">
        <v>916.0</v>
      </c>
      <c r="O902" s="4">
        <v>2015.0</v>
      </c>
    </row>
    <row r="903">
      <c r="A903" s="4">
        <v>8.792009665E9</v>
      </c>
      <c r="B903" s="5">
        <v>42493.0</v>
      </c>
      <c r="C903" s="4">
        <v>2421.0</v>
      </c>
      <c r="D903" s="4">
        <v>1.54999995231628</v>
      </c>
      <c r="E903" s="4">
        <v>1.54999995231628</v>
      </c>
      <c r="F903" s="4">
        <v>0.0</v>
      </c>
      <c r="G903" s="4">
        <v>0.0</v>
      </c>
      <c r="H903" s="4">
        <v>0.0</v>
      </c>
      <c r="I903" s="4">
        <v>1.54999995231628</v>
      </c>
      <c r="J903" s="4">
        <v>0.0</v>
      </c>
      <c r="K903" s="4">
        <v>0.0</v>
      </c>
      <c r="L903" s="4">
        <v>0.0</v>
      </c>
      <c r="M903" s="4">
        <v>156.0</v>
      </c>
      <c r="N903" s="4">
        <v>739.0</v>
      </c>
      <c r="O903" s="4">
        <v>2297.0</v>
      </c>
    </row>
    <row r="904">
      <c r="A904" s="4">
        <v>8.792009665E9</v>
      </c>
      <c r="B904" s="5">
        <v>42494.0</v>
      </c>
      <c r="C904" s="4">
        <v>2283.0</v>
      </c>
      <c r="D904" s="4">
        <v>1.46000003814697</v>
      </c>
      <c r="E904" s="4">
        <v>1.46000003814697</v>
      </c>
      <c r="F904" s="4">
        <v>0.0</v>
      </c>
      <c r="G904" s="4">
        <v>0.0</v>
      </c>
      <c r="H904" s="4">
        <v>0.0</v>
      </c>
      <c r="I904" s="4">
        <v>1.46000003814697</v>
      </c>
      <c r="J904" s="4">
        <v>0.0</v>
      </c>
      <c r="K904" s="4">
        <v>0.0</v>
      </c>
      <c r="L904" s="4">
        <v>0.0</v>
      </c>
      <c r="M904" s="4">
        <v>129.0</v>
      </c>
      <c r="N904" s="4">
        <v>848.0</v>
      </c>
      <c r="O904" s="4">
        <v>2067.0</v>
      </c>
    </row>
    <row r="905">
      <c r="A905" s="4">
        <v>8.792009665E9</v>
      </c>
      <c r="B905" s="5">
        <v>42495.0</v>
      </c>
      <c r="C905" s="4">
        <v>0.0</v>
      </c>
      <c r="D905" s="4">
        <v>0.0</v>
      </c>
      <c r="E905" s="4">
        <v>0.0</v>
      </c>
      <c r="F905" s="4">
        <v>0.0</v>
      </c>
      <c r="G905" s="4">
        <v>0.0</v>
      </c>
      <c r="H905" s="4">
        <v>0.0</v>
      </c>
      <c r="I905" s="4">
        <v>0.0</v>
      </c>
      <c r="J905" s="4">
        <v>0.0</v>
      </c>
      <c r="K905" s="4">
        <v>0.0</v>
      </c>
      <c r="L905" s="4">
        <v>0.0</v>
      </c>
      <c r="M905" s="4">
        <v>0.0</v>
      </c>
      <c r="N905" s="4">
        <v>1440.0</v>
      </c>
      <c r="O905" s="4">
        <v>1688.0</v>
      </c>
    </row>
    <row r="906">
      <c r="A906" s="4">
        <v>8.792009665E9</v>
      </c>
      <c r="B906" s="5">
        <v>42496.0</v>
      </c>
      <c r="C906" s="4">
        <v>0.0</v>
      </c>
      <c r="D906" s="4">
        <v>0.0</v>
      </c>
      <c r="E906" s="4">
        <v>0.0</v>
      </c>
      <c r="F906" s="4">
        <v>0.0</v>
      </c>
      <c r="G906" s="4">
        <v>0.0</v>
      </c>
      <c r="H906" s="4">
        <v>0.0</v>
      </c>
      <c r="I906" s="4">
        <v>0.0</v>
      </c>
      <c r="J906" s="4">
        <v>0.0</v>
      </c>
      <c r="K906" s="4">
        <v>0.0</v>
      </c>
      <c r="L906" s="4">
        <v>0.0</v>
      </c>
      <c r="M906" s="4">
        <v>0.0</v>
      </c>
      <c r="N906" s="4">
        <v>1440.0</v>
      </c>
      <c r="O906" s="4">
        <v>1688.0</v>
      </c>
    </row>
    <row r="907">
      <c r="A907" s="4">
        <v>8.792009665E9</v>
      </c>
      <c r="B907" s="5">
        <v>42497.0</v>
      </c>
      <c r="C907" s="4">
        <v>0.0</v>
      </c>
      <c r="D907" s="4">
        <v>0.0</v>
      </c>
      <c r="E907" s="4">
        <v>0.0</v>
      </c>
      <c r="F907" s="4">
        <v>0.0</v>
      </c>
      <c r="G907" s="4">
        <v>0.0</v>
      </c>
      <c r="H907" s="4">
        <v>0.0</v>
      </c>
      <c r="I907" s="4">
        <v>0.0</v>
      </c>
      <c r="J907" s="4">
        <v>0.0</v>
      </c>
      <c r="K907" s="4">
        <v>0.0</v>
      </c>
      <c r="L907" s="4">
        <v>0.0</v>
      </c>
      <c r="M907" s="4">
        <v>0.0</v>
      </c>
      <c r="N907" s="4">
        <v>1440.0</v>
      </c>
      <c r="O907" s="4">
        <v>1688.0</v>
      </c>
    </row>
    <row r="908">
      <c r="A908" s="4">
        <v>8.792009665E9</v>
      </c>
      <c r="B908" s="5">
        <v>42498.0</v>
      </c>
      <c r="C908" s="4">
        <v>0.0</v>
      </c>
      <c r="D908" s="4">
        <v>0.0</v>
      </c>
      <c r="E908" s="4">
        <v>0.0</v>
      </c>
      <c r="F908" s="4">
        <v>0.0</v>
      </c>
      <c r="G908" s="4">
        <v>0.0</v>
      </c>
      <c r="H908" s="4">
        <v>0.0</v>
      </c>
      <c r="I908" s="4">
        <v>0.0</v>
      </c>
      <c r="J908" s="4">
        <v>0.0</v>
      </c>
      <c r="K908" s="4">
        <v>0.0</v>
      </c>
      <c r="L908" s="4">
        <v>0.0</v>
      </c>
      <c r="M908" s="4">
        <v>0.0</v>
      </c>
      <c r="N908" s="4">
        <v>1440.0</v>
      </c>
      <c r="O908" s="4">
        <v>1688.0</v>
      </c>
    </row>
    <row r="909">
      <c r="A909" s="4">
        <v>8.792009665E9</v>
      </c>
      <c r="B909" s="5">
        <v>42499.0</v>
      </c>
      <c r="C909" s="4">
        <v>0.0</v>
      </c>
      <c r="D909" s="4">
        <v>0.0</v>
      </c>
      <c r="E909" s="4">
        <v>0.0</v>
      </c>
      <c r="F909" s="4">
        <v>0.0</v>
      </c>
      <c r="G909" s="4">
        <v>0.0</v>
      </c>
      <c r="H909" s="4">
        <v>0.0</v>
      </c>
      <c r="I909" s="4">
        <v>0.0</v>
      </c>
      <c r="J909" s="4">
        <v>0.0</v>
      </c>
      <c r="K909" s="4">
        <v>0.0</v>
      </c>
      <c r="L909" s="4">
        <v>0.0</v>
      </c>
      <c r="M909" s="4">
        <v>0.0</v>
      </c>
      <c r="N909" s="4">
        <v>1440.0</v>
      </c>
      <c r="O909" s="4">
        <v>1688.0</v>
      </c>
    </row>
    <row r="910">
      <c r="A910" s="4">
        <v>8.792009665E9</v>
      </c>
      <c r="B910" s="5">
        <v>42500.0</v>
      </c>
      <c r="C910" s="4">
        <v>0.0</v>
      </c>
      <c r="D910" s="4">
        <v>0.0</v>
      </c>
      <c r="E910" s="4">
        <v>0.0</v>
      </c>
      <c r="F910" s="4">
        <v>0.0</v>
      </c>
      <c r="G910" s="4">
        <v>0.0</v>
      </c>
      <c r="H910" s="4">
        <v>0.0</v>
      </c>
      <c r="I910" s="4">
        <v>0.0</v>
      </c>
      <c r="J910" s="4">
        <v>0.0</v>
      </c>
      <c r="K910" s="4">
        <v>0.0</v>
      </c>
      <c r="L910" s="4">
        <v>0.0</v>
      </c>
      <c r="M910" s="4">
        <v>0.0</v>
      </c>
      <c r="N910" s="4">
        <v>48.0</v>
      </c>
      <c r="O910" s="4">
        <v>57.0</v>
      </c>
    </row>
    <row r="911">
      <c r="A911" s="4">
        <v>8.877689391E9</v>
      </c>
      <c r="B911" s="5">
        <v>42472.0</v>
      </c>
      <c r="C911" s="4">
        <v>23186.0</v>
      </c>
      <c r="D911" s="4">
        <v>20.3999996185303</v>
      </c>
      <c r="E911" s="4">
        <v>20.3999996185303</v>
      </c>
      <c r="F911" s="4">
        <v>0.0</v>
      </c>
      <c r="G911" s="4">
        <v>12.2200002670288</v>
      </c>
      <c r="H911" s="4">
        <v>0.340000003576279</v>
      </c>
      <c r="I911" s="4">
        <v>7.82000017166138</v>
      </c>
      <c r="J911" s="4">
        <v>0.0</v>
      </c>
      <c r="K911" s="4">
        <v>85.0</v>
      </c>
      <c r="L911" s="4">
        <v>7.0</v>
      </c>
      <c r="M911" s="4">
        <v>312.0</v>
      </c>
      <c r="N911" s="4">
        <v>1036.0</v>
      </c>
      <c r="O911" s="4">
        <v>3921.0</v>
      </c>
    </row>
    <row r="912">
      <c r="A912" s="4">
        <v>8.877689391E9</v>
      </c>
      <c r="B912" s="5">
        <v>42473.0</v>
      </c>
      <c r="C912" s="4">
        <v>15337.0</v>
      </c>
      <c r="D912" s="4">
        <v>9.57999992370605</v>
      </c>
      <c r="E912" s="4">
        <v>9.57999992370605</v>
      </c>
      <c r="F912" s="4">
        <v>0.0</v>
      </c>
      <c r="G912" s="4">
        <v>3.54999995231628</v>
      </c>
      <c r="H912" s="4">
        <v>0.379999995231628</v>
      </c>
      <c r="I912" s="4">
        <v>5.6399998664856</v>
      </c>
      <c r="J912" s="4">
        <v>0.0</v>
      </c>
      <c r="K912" s="4">
        <v>108.0</v>
      </c>
      <c r="L912" s="4">
        <v>18.0</v>
      </c>
      <c r="M912" s="4">
        <v>216.0</v>
      </c>
      <c r="N912" s="4">
        <v>1098.0</v>
      </c>
      <c r="O912" s="4">
        <v>3566.0</v>
      </c>
    </row>
    <row r="913">
      <c r="A913" s="4">
        <v>8.877689391E9</v>
      </c>
      <c r="B913" s="5">
        <v>42474.0</v>
      </c>
      <c r="C913" s="4">
        <v>21129.0</v>
      </c>
      <c r="D913" s="4">
        <v>18.9799995422363</v>
      </c>
      <c r="E913" s="4">
        <v>18.9799995422363</v>
      </c>
      <c r="F913" s="4">
        <v>0.0</v>
      </c>
      <c r="G913" s="4">
        <v>10.5500001907349</v>
      </c>
      <c r="H913" s="4">
        <v>0.589999973773956</v>
      </c>
      <c r="I913" s="4">
        <v>7.75</v>
      </c>
      <c r="J913" s="4">
        <v>0.0199999995529652</v>
      </c>
      <c r="K913" s="4">
        <v>68.0</v>
      </c>
      <c r="L913" s="4">
        <v>13.0</v>
      </c>
      <c r="M913" s="4">
        <v>298.0</v>
      </c>
      <c r="N913" s="4">
        <v>1061.0</v>
      </c>
      <c r="O913" s="4">
        <v>3793.0</v>
      </c>
    </row>
    <row r="914">
      <c r="A914" s="4">
        <v>8.877689391E9</v>
      </c>
      <c r="B914" s="5">
        <v>42475.0</v>
      </c>
      <c r="C914" s="4">
        <v>13422.0</v>
      </c>
      <c r="D914" s="4">
        <v>7.17000007629395</v>
      </c>
      <c r="E914" s="4">
        <v>7.17000007629395</v>
      </c>
      <c r="F914" s="4">
        <v>0.0</v>
      </c>
      <c r="G914" s="4">
        <v>0.0500000007450581</v>
      </c>
      <c r="H914" s="4">
        <v>0.0500000007450581</v>
      </c>
      <c r="I914" s="4">
        <v>7.01000022888184</v>
      </c>
      <c r="J914" s="4">
        <v>0.00999999977648258</v>
      </c>
      <c r="K914" s="4">
        <v>106.0</v>
      </c>
      <c r="L914" s="4">
        <v>1.0</v>
      </c>
      <c r="M914" s="4">
        <v>281.0</v>
      </c>
      <c r="N914" s="4">
        <v>1052.0</v>
      </c>
      <c r="O914" s="4">
        <v>3934.0</v>
      </c>
    </row>
    <row r="915">
      <c r="A915" s="4">
        <v>8.877689391E9</v>
      </c>
      <c r="B915" s="5">
        <v>42476.0</v>
      </c>
      <c r="C915" s="4">
        <v>29326.0</v>
      </c>
      <c r="D915" s="4">
        <v>25.2900009155273</v>
      </c>
      <c r="E915" s="4">
        <v>25.2900009155273</v>
      </c>
      <c r="F915" s="4">
        <v>0.0</v>
      </c>
      <c r="G915" s="4">
        <v>13.2399997711182</v>
      </c>
      <c r="H915" s="4">
        <v>1.21000003814697</v>
      </c>
      <c r="I915" s="4">
        <v>10.710000038147</v>
      </c>
      <c r="J915" s="4">
        <v>0.0</v>
      </c>
      <c r="K915" s="4">
        <v>94.0</v>
      </c>
      <c r="L915" s="4">
        <v>29.0</v>
      </c>
      <c r="M915" s="4">
        <v>429.0</v>
      </c>
      <c r="N915" s="4">
        <v>888.0</v>
      </c>
      <c r="O915" s="4">
        <v>4547.0</v>
      </c>
    </row>
    <row r="916">
      <c r="A916" s="4">
        <v>8.877689391E9</v>
      </c>
      <c r="B916" s="5">
        <v>42477.0</v>
      </c>
      <c r="C916" s="4">
        <v>15118.0</v>
      </c>
      <c r="D916" s="4">
        <v>8.86999988555908</v>
      </c>
      <c r="E916" s="4">
        <v>8.86999988555908</v>
      </c>
      <c r="F916" s="4">
        <v>0.0</v>
      </c>
      <c r="G916" s="4">
        <v>0.0</v>
      </c>
      <c r="H916" s="4">
        <v>0.0700000002980232</v>
      </c>
      <c r="I916" s="4">
        <v>8.78999996185303</v>
      </c>
      <c r="J916" s="4">
        <v>0.0</v>
      </c>
      <c r="K916" s="4">
        <v>58.0</v>
      </c>
      <c r="L916" s="4">
        <v>15.0</v>
      </c>
      <c r="M916" s="4">
        <v>307.0</v>
      </c>
      <c r="N916" s="4">
        <v>1060.0</v>
      </c>
      <c r="O916" s="4">
        <v>3545.0</v>
      </c>
    </row>
    <row r="917">
      <c r="A917" s="4">
        <v>8.877689391E9</v>
      </c>
      <c r="B917" s="5">
        <v>42478.0</v>
      </c>
      <c r="C917" s="4">
        <v>11423.0</v>
      </c>
      <c r="D917" s="4">
        <v>8.67000007629395</v>
      </c>
      <c r="E917" s="4">
        <v>8.67000007629395</v>
      </c>
      <c r="F917" s="4">
        <v>0.0</v>
      </c>
      <c r="G917" s="4">
        <v>2.44000005722046</v>
      </c>
      <c r="H917" s="4">
        <v>0.270000010728836</v>
      </c>
      <c r="I917" s="4">
        <v>5.94000005722046</v>
      </c>
      <c r="J917" s="4">
        <v>0.0</v>
      </c>
      <c r="K917" s="4">
        <v>29.0</v>
      </c>
      <c r="L917" s="4">
        <v>5.0</v>
      </c>
      <c r="M917" s="4">
        <v>191.0</v>
      </c>
      <c r="N917" s="4">
        <v>1215.0</v>
      </c>
      <c r="O917" s="4">
        <v>2761.0</v>
      </c>
    </row>
    <row r="918">
      <c r="A918" s="4">
        <v>8.877689391E9</v>
      </c>
      <c r="B918" s="5">
        <v>42479.0</v>
      </c>
      <c r="C918" s="4">
        <v>18785.0</v>
      </c>
      <c r="D918" s="4">
        <v>17.3999996185303</v>
      </c>
      <c r="E918" s="4">
        <v>17.3999996185303</v>
      </c>
      <c r="F918" s="4">
        <v>0.0</v>
      </c>
      <c r="G918" s="4">
        <v>12.1499996185303</v>
      </c>
      <c r="H918" s="4">
        <v>0.180000007152557</v>
      </c>
      <c r="I918" s="4">
        <v>5.03000020980835</v>
      </c>
      <c r="J918" s="4">
        <v>0.0</v>
      </c>
      <c r="K918" s="4">
        <v>82.0</v>
      </c>
      <c r="L918" s="4">
        <v>13.0</v>
      </c>
      <c r="M918" s="4">
        <v>214.0</v>
      </c>
      <c r="N918" s="4">
        <v>1131.0</v>
      </c>
      <c r="O918" s="4">
        <v>3676.0</v>
      </c>
    </row>
    <row r="919">
      <c r="A919" s="4">
        <v>8.877689391E9</v>
      </c>
      <c r="B919" s="5">
        <v>42480.0</v>
      </c>
      <c r="C919" s="4">
        <v>19948.0</v>
      </c>
      <c r="D919" s="4">
        <v>18.1100006103516</v>
      </c>
      <c r="E919" s="4">
        <v>18.1100006103516</v>
      </c>
      <c r="F919" s="4">
        <v>0.0</v>
      </c>
      <c r="G919" s="4">
        <v>11.0200004577637</v>
      </c>
      <c r="H919" s="4">
        <v>0.689999997615814</v>
      </c>
      <c r="I919" s="4">
        <v>6.34000015258789</v>
      </c>
      <c r="J919" s="4">
        <v>0.0</v>
      </c>
      <c r="K919" s="4">
        <v>73.0</v>
      </c>
      <c r="L919" s="4">
        <v>19.0</v>
      </c>
      <c r="M919" s="4">
        <v>225.0</v>
      </c>
      <c r="N919" s="4">
        <v>1123.0</v>
      </c>
      <c r="O919" s="4">
        <v>3679.0</v>
      </c>
    </row>
    <row r="920">
      <c r="A920" s="4">
        <v>8.877689391E9</v>
      </c>
      <c r="B920" s="5">
        <v>42481.0</v>
      </c>
      <c r="C920" s="4">
        <v>19377.0</v>
      </c>
      <c r="D920" s="4">
        <v>17.6200008392334</v>
      </c>
      <c r="E920" s="4">
        <v>17.6200008392334</v>
      </c>
      <c r="F920" s="4">
        <v>0.0</v>
      </c>
      <c r="G920" s="4">
        <v>12.289999961853</v>
      </c>
      <c r="H920" s="4">
        <v>0.419999986886978</v>
      </c>
      <c r="I920" s="4">
        <v>4.8899998664856</v>
      </c>
      <c r="J920" s="4">
        <v>0.0</v>
      </c>
      <c r="K920" s="4">
        <v>82.0</v>
      </c>
      <c r="L920" s="4">
        <v>13.0</v>
      </c>
      <c r="M920" s="4">
        <v>226.0</v>
      </c>
      <c r="N920" s="4">
        <v>1119.0</v>
      </c>
      <c r="O920" s="4">
        <v>3659.0</v>
      </c>
    </row>
    <row r="921">
      <c r="A921" s="4">
        <v>8.877689391E9</v>
      </c>
      <c r="B921" s="5">
        <v>42482.0</v>
      </c>
      <c r="C921" s="4">
        <v>18258.0</v>
      </c>
      <c r="D921" s="4">
        <v>16.3099994659424</v>
      </c>
      <c r="E921" s="4">
        <v>16.3099994659424</v>
      </c>
      <c r="F921" s="4">
        <v>0.0</v>
      </c>
      <c r="G921" s="4">
        <v>10.2299995422363</v>
      </c>
      <c r="H921" s="4">
        <v>0.0299999993294477</v>
      </c>
      <c r="I921" s="4">
        <v>5.96999979019165</v>
      </c>
      <c r="J921" s="4">
        <v>0.0500000007450581</v>
      </c>
      <c r="K921" s="4">
        <v>61.0</v>
      </c>
      <c r="L921" s="4">
        <v>2.0</v>
      </c>
      <c r="M921" s="4">
        <v>236.0</v>
      </c>
      <c r="N921" s="4">
        <v>1141.0</v>
      </c>
      <c r="O921" s="4">
        <v>3427.0</v>
      </c>
    </row>
    <row r="922">
      <c r="A922" s="4">
        <v>8.877689391E9</v>
      </c>
      <c r="B922" s="5">
        <v>42483.0</v>
      </c>
      <c r="C922" s="4">
        <v>11200.0</v>
      </c>
      <c r="D922" s="4">
        <v>7.42999982833862</v>
      </c>
      <c r="E922" s="4">
        <v>7.42999982833862</v>
      </c>
      <c r="F922" s="4">
        <v>0.0</v>
      </c>
      <c r="G922" s="4">
        <v>0.0</v>
      </c>
      <c r="H922" s="4">
        <v>0.0</v>
      </c>
      <c r="I922" s="4">
        <v>7.40000009536743</v>
      </c>
      <c r="J922" s="4">
        <v>0.00999999977648258</v>
      </c>
      <c r="K922" s="4">
        <v>102.0</v>
      </c>
      <c r="L922" s="4">
        <v>6.0</v>
      </c>
      <c r="M922" s="4">
        <v>300.0</v>
      </c>
      <c r="N922" s="4">
        <v>1032.0</v>
      </c>
      <c r="O922" s="4">
        <v>3891.0</v>
      </c>
    </row>
    <row r="923">
      <c r="A923" s="4">
        <v>8.877689391E9</v>
      </c>
      <c r="B923" s="5">
        <v>42484.0</v>
      </c>
      <c r="C923" s="4">
        <v>16674.0</v>
      </c>
      <c r="D923" s="4">
        <v>15.7399997711182</v>
      </c>
      <c r="E923" s="4">
        <v>15.7399997711182</v>
      </c>
      <c r="F923" s="4">
        <v>0.0</v>
      </c>
      <c r="G923" s="4">
        <v>11.0100002288818</v>
      </c>
      <c r="H923" s="4">
        <v>0.00999999977648258</v>
      </c>
      <c r="I923" s="4">
        <v>4.69000005722046</v>
      </c>
      <c r="J923" s="4">
        <v>0.0</v>
      </c>
      <c r="K923" s="4">
        <v>64.0</v>
      </c>
      <c r="L923" s="4">
        <v>1.0</v>
      </c>
      <c r="M923" s="4">
        <v>227.0</v>
      </c>
      <c r="N923" s="4">
        <v>1148.0</v>
      </c>
      <c r="O923" s="4">
        <v>3455.0</v>
      </c>
    </row>
    <row r="924">
      <c r="A924" s="4">
        <v>8.877689391E9</v>
      </c>
      <c r="B924" s="5">
        <v>42485.0</v>
      </c>
      <c r="C924" s="4">
        <v>12986.0</v>
      </c>
      <c r="D924" s="4">
        <v>8.73999977111816</v>
      </c>
      <c r="E924" s="4">
        <v>8.73999977111816</v>
      </c>
      <c r="F924" s="4">
        <v>0.0</v>
      </c>
      <c r="G924" s="4">
        <v>2.36999988555908</v>
      </c>
      <c r="H924" s="4">
        <v>0.0700000002980232</v>
      </c>
      <c r="I924" s="4">
        <v>6.26999998092651</v>
      </c>
      <c r="J924" s="4">
        <v>0.00999999977648258</v>
      </c>
      <c r="K924" s="4">
        <v>113.0</v>
      </c>
      <c r="L924" s="4">
        <v>8.0</v>
      </c>
      <c r="M924" s="4">
        <v>218.0</v>
      </c>
      <c r="N924" s="4">
        <v>1101.0</v>
      </c>
      <c r="O924" s="4">
        <v>3802.0</v>
      </c>
    </row>
    <row r="925">
      <c r="A925" s="4">
        <v>8.877689391E9</v>
      </c>
      <c r="B925" s="5">
        <v>42486.0</v>
      </c>
      <c r="C925" s="4">
        <v>11101.0</v>
      </c>
      <c r="D925" s="4">
        <v>8.43000030517578</v>
      </c>
      <c r="E925" s="4">
        <v>8.43000030517578</v>
      </c>
      <c r="F925" s="4">
        <v>0.0</v>
      </c>
      <c r="G925" s="4">
        <v>1.75999999046326</v>
      </c>
      <c r="H925" s="4">
        <v>0.129999995231628</v>
      </c>
      <c r="I925" s="4">
        <v>6.5</v>
      </c>
      <c r="J925" s="4">
        <v>0.0</v>
      </c>
      <c r="K925" s="4">
        <v>22.0</v>
      </c>
      <c r="L925" s="4">
        <v>3.0</v>
      </c>
      <c r="M925" s="4">
        <v>258.0</v>
      </c>
      <c r="N925" s="4">
        <v>1157.0</v>
      </c>
      <c r="O925" s="4">
        <v>2860.0</v>
      </c>
    </row>
    <row r="926">
      <c r="A926" s="4">
        <v>8.877689391E9</v>
      </c>
      <c r="B926" s="5">
        <v>42487.0</v>
      </c>
      <c r="C926" s="4">
        <v>23629.0</v>
      </c>
      <c r="D926" s="4">
        <v>20.6499996185303</v>
      </c>
      <c r="E926" s="4">
        <v>20.6499996185303</v>
      </c>
      <c r="F926" s="4">
        <v>0.0</v>
      </c>
      <c r="G926" s="4">
        <v>13.0699996948242</v>
      </c>
      <c r="H926" s="4">
        <v>0.439999997615814</v>
      </c>
      <c r="I926" s="4">
        <v>7.09999990463257</v>
      </c>
      <c r="J926" s="4">
        <v>0.0</v>
      </c>
      <c r="K926" s="4">
        <v>93.0</v>
      </c>
      <c r="L926" s="4">
        <v>8.0</v>
      </c>
      <c r="M926" s="4">
        <v>235.0</v>
      </c>
      <c r="N926" s="4">
        <v>1104.0</v>
      </c>
      <c r="O926" s="4">
        <v>3808.0</v>
      </c>
    </row>
    <row r="927">
      <c r="A927" s="4">
        <v>8.877689391E9</v>
      </c>
      <c r="B927" s="5">
        <v>42488.0</v>
      </c>
      <c r="C927" s="4">
        <v>14890.0</v>
      </c>
      <c r="D927" s="4">
        <v>11.3000001907349</v>
      </c>
      <c r="E927" s="4">
        <v>11.3000001907349</v>
      </c>
      <c r="F927" s="4">
        <v>0.0</v>
      </c>
      <c r="G927" s="4">
        <v>4.92999982833862</v>
      </c>
      <c r="H927" s="4">
        <v>0.379999995231628</v>
      </c>
      <c r="I927" s="4">
        <v>5.96999979019165</v>
      </c>
      <c r="J927" s="4">
        <v>0.0</v>
      </c>
      <c r="K927" s="4">
        <v>58.0</v>
      </c>
      <c r="L927" s="4">
        <v>8.0</v>
      </c>
      <c r="M927" s="4">
        <v>231.0</v>
      </c>
      <c r="N927" s="4">
        <v>1143.0</v>
      </c>
      <c r="O927" s="4">
        <v>3060.0</v>
      </c>
    </row>
    <row r="928">
      <c r="A928" s="4">
        <v>8.877689391E9</v>
      </c>
      <c r="B928" s="5">
        <v>42489.0</v>
      </c>
      <c r="C928" s="4">
        <v>9733.0</v>
      </c>
      <c r="D928" s="4">
        <v>7.3899998664856</v>
      </c>
      <c r="E928" s="4">
        <v>7.3899998664856</v>
      </c>
      <c r="F928" s="4">
        <v>0.0</v>
      </c>
      <c r="G928" s="4">
        <v>1.37999999523163</v>
      </c>
      <c r="H928" s="4">
        <v>0.170000001788139</v>
      </c>
      <c r="I928" s="4">
        <v>5.78999996185303</v>
      </c>
      <c r="J928" s="4">
        <v>0.0</v>
      </c>
      <c r="K928" s="4">
        <v>18.0</v>
      </c>
      <c r="L928" s="4">
        <v>5.0</v>
      </c>
      <c r="M928" s="4">
        <v>210.0</v>
      </c>
      <c r="N928" s="4">
        <v>1207.0</v>
      </c>
      <c r="O928" s="4">
        <v>2698.0</v>
      </c>
    </row>
    <row r="929">
      <c r="A929" s="4">
        <v>8.877689391E9</v>
      </c>
      <c r="B929" s="5">
        <v>42490.0</v>
      </c>
      <c r="C929" s="4">
        <v>27745.0</v>
      </c>
      <c r="D929" s="4">
        <v>26.7199993133545</v>
      </c>
      <c r="E929" s="4">
        <v>26.7199993133545</v>
      </c>
      <c r="F929" s="4">
        <v>0.0</v>
      </c>
      <c r="G929" s="4">
        <v>21.6599998474121</v>
      </c>
      <c r="H929" s="4">
        <v>0.0799999982118607</v>
      </c>
      <c r="I929" s="4">
        <v>4.92999982833862</v>
      </c>
      <c r="J929" s="4">
        <v>0.0</v>
      </c>
      <c r="K929" s="4">
        <v>124.0</v>
      </c>
      <c r="L929" s="4">
        <v>4.0</v>
      </c>
      <c r="M929" s="4">
        <v>223.0</v>
      </c>
      <c r="N929" s="4">
        <v>1089.0</v>
      </c>
      <c r="O929" s="4">
        <v>4398.0</v>
      </c>
    </row>
    <row r="930">
      <c r="A930" s="4">
        <v>8.877689391E9</v>
      </c>
      <c r="B930" s="5">
        <v>42491.0</v>
      </c>
      <c r="C930" s="4">
        <v>10930.0</v>
      </c>
      <c r="D930" s="4">
        <v>8.31999969482422</v>
      </c>
      <c r="E930" s="4">
        <v>8.31999969482422</v>
      </c>
      <c r="F930" s="4">
        <v>0.0</v>
      </c>
      <c r="G930" s="4">
        <v>3.13000011444092</v>
      </c>
      <c r="H930" s="4">
        <v>0.569999992847443</v>
      </c>
      <c r="I930" s="4">
        <v>4.57000017166138</v>
      </c>
      <c r="J930" s="4">
        <v>0.0</v>
      </c>
      <c r="K930" s="4">
        <v>36.0</v>
      </c>
      <c r="L930" s="4">
        <v>12.0</v>
      </c>
      <c r="M930" s="4">
        <v>166.0</v>
      </c>
      <c r="N930" s="4">
        <v>1226.0</v>
      </c>
      <c r="O930" s="4">
        <v>2786.0</v>
      </c>
    </row>
    <row r="931">
      <c r="A931" s="4">
        <v>8.877689391E9</v>
      </c>
      <c r="B931" s="5">
        <v>42492.0</v>
      </c>
      <c r="C931" s="4">
        <v>4790.0</v>
      </c>
      <c r="D931" s="4">
        <v>3.64000010490417</v>
      </c>
      <c r="E931" s="4">
        <v>3.64000010490417</v>
      </c>
      <c r="F931" s="4">
        <v>0.0</v>
      </c>
      <c r="G931" s="4">
        <v>0.0</v>
      </c>
      <c r="H931" s="4">
        <v>0.0</v>
      </c>
      <c r="I931" s="4">
        <v>3.55999994277954</v>
      </c>
      <c r="J931" s="4">
        <v>0.0</v>
      </c>
      <c r="K931" s="4">
        <v>0.0</v>
      </c>
      <c r="L931" s="4">
        <v>0.0</v>
      </c>
      <c r="M931" s="4">
        <v>105.0</v>
      </c>
      <c r="N931" s="4">
        <v>1335.0</v>
      </c>
      <c r="O931" s="4">
        <v>2189.0</v>
      </c>
    </row>
    <row r="932">
      <c r="A932" s="4">
        <v>8.877689391E9</v>
      </c>
      <c r="B932" s="5">
        <v>42493.0</v>
      </c>
      <c r="C932" s="4">
        <v>10818.0</v>
      </c>
      <c r="D932" s="4">
        <v>8.21000003814697</v>
      </c>
      <c r="E932" s="4">
        <v>8.21000003814697</v>
      </c>
      <c r="F932" s="4">
        <v>0.0</v>
      </c>
      <c r="G932" s="4">
        <v>1.38999998569489</v>
      </c>
      <c r="H932" s="4">
        <v>0.100000001490116</v>
      </c>
      <c r="I932" s="4">
        <v>6.67000007629395</v>
      </c>
      <c r="J932" s="4">
        <v>0.00999999977648258</v>
      </c>
      <c r="K932" s="4">
        <v>19.0</v>
      </c>
      <c r="L932" s="4">
        <v>3.0</v>
      </c>
      <c r="M932" s="4">
        <v>229.0</v>
      </c>
      <c r="N932" s="4">
        <v>1189.0</v>
      </c>
      <c r="O932" s="4">
        <v>2817.0</v>
      </c>
    </row>
    <row r="933">
      <c r="A933" s="4">
        <v>8.877689391E9</v>
      </c>
      <c r="B933" s="5">
        <v>42494.0</v>
      </c>
      <c r="C933" s="4">
        <v>18193.0</v>
      </c>
      <c r="D933" s="4">
        <v>16.2999992370605</v>
      </c>
      <c r="E933" s="4">
        <v>16.2999992370605</v>
      </c>
      <c r="F933" s="4">
        <v>0.0</v>
      </c>
      <c r="G933" s="4">
        <v>10.4200000762939</v>
      </c>
      <c r="H933" s="4">
        <v>0.310000002384186</v>
      </c>
      <c r="I933" s="4">
        <v>5.53000020980835</v>
      </c>
      <c r="J933" s="4">
        <v>0.0</v>
      </c>
      <c r="K933" s="4">
        <v>66.0</v>
      </c>
      <c r="L933" s="4">
        <v>8.0</v>
      </c>
      <c r="M933" s="4">
        <v>212.0</v>
      </c>
      <c r="N933" s="4">
        <v>1154.0</v>
      </c>
      <c r="O933" s="4">
        <v>3477.0</v>
      </c>
    </row>
    <row r="934">
      <c r="A934" s="4">
        <v>8.877689391E9</v>
      </c>
      <c r="B934" s="5">
        <v>42495.0</v>
      </c>
      <c r="C934" s="4">
        <v>14055.0</v>
      </c>
      <c r="D934" s="4">
        <v>10.6700000762939</v>
      </c>
      <c r="E934" s="4">
        <v>10.6700000762939</v>
      </c>
      <c r="F934" s="4">
        <v>0.0</v>
      </c>
      <c r="G934" s="4">
        <v>5.46000003814697</v>
      </c>
      <c r="H934" s="4">
        <v>0.819999992847443</v>
      </c>
      <c r="I934" s="4">
        <v>4.36999988555908</v>
      </c>
      <c r="J934" s="4">
        <v>0.0</v>
      </c>
      <c r="K934" s="4">
        <v>67.0</v>
      </c>
      <c r="L934" s="4">
        <v>15.0</v>
      </c>
      <c r="M934" s="4">
        <v>188.0</v>
      </c>
      <c r="N934" s="4">
        <v>1170.0</v>
      </c>
      <c r="O934" s="4">
        <v>3052.0</v>
      </c>
    </row>
    <row r="935">
      <c r="A935" s="4">
        <v>8.877689391E9</v>
      </c>
      <c r="B935" s="5">
        <v>42496.0</v>
      </c>
      <c r="C935" s="4">
        <v>21727.0</v>
      </c>
      <c r="D935" s="4">
        <v>19.3400001525879</v>
      </c>
      <c r="E935" s="4">
        <v>19.3400001525879</v>
      </c>
      <c r="F935" s="4">
        <v>0.0</v>
      </c>
      <c r="G935" s="4">
        <v>12.789999961853</v>
      </c>
      <c r="H935" s="4">
        <v>0.28999999165535</v>
      </c>
      <c r="I935" s="4">
        <v>6.15999984741211</v>
      </c>
      <c r="J935" s="4">
        <v>0.0</v>
      </c>
      <c r="K935" s="4">
        <v>96.0</v>
      </c>
      <c r="L935" s="4">
        <v>17.0</v>
      </c>
      <c r="M935" s="4">
        <v>232.0</v>
      </c>
      <c r="N935" s="4">
        <v>1095.0</v>
      </c>
      <c r="O935" s="4">
        <v>4015.0</v>
      </c>
    </row>
    <row r="936">
      <c r="A936" s="4">
        <v>8.877689391E9</v>
      </c>
      <c r="B936" s="5">
        <v>42497.0</v>
      </c>
      <c r="C936" s="4">
        <v>12332.0</v>
      </c>
      <c r="D936" s="4">
        <v>8.13000011444092</v>
      </c>
      <c r="E936" s="4">
        <v>8.13000011444092</v>
      </c>
      <c r="F936" s="4">
        <v>0.0</v>
      </c>
      <c r="G936" s="4">
        <v>0.0799999982118607</v>
      </c>
      <c r="H936" s="4">
        <v>0.959999978542328</v>
      </c>
      <c r="I936" s="4">
        <v>6.98999977111816</v>
      </c>
      <c r="J936" s="4">
        <v>0.0</v>
      </c>
      <c r="K936" s="4">
        <v>105.0</v>
      </c>
      <c r="L936" s="4">
        <v>28.0</v>
      </c>
      <c r="M936" s="4">
        <v>271.0</v>
      </c>
      <c r="N936" s="4">
        <v>1036.0</v>
      </c>
      <c r="O936" s="4">
        <v>4142.0</v>
      </c>
    </row>
    <row r="937">
      <c r="A937" s="4">
        <v>8.877689391E9</v>
      </c>
      <c r="B937" s="5">
        <v>42498.0</v>
      </c>
      <c r="C937" s="4">
        <v>10686.0</v>
      </c>
      <c r="D937" s="4">
        <v>8.10999965667725</v>
      </c>
      <c r="E937" s="4">
        <v>8.10999965667725</v>
      </c>
      <c r="F937" s="4">
        <v>0.0</v>
      </c>
      <c r="G937" s="4">
        <v>1.08000004291534</v>
      </c>
      <c r="H937" s="4">
        <v>0.200000002980232</v>
      </c>
      <c r="I937" s="4">
        <v>6.80000019073486</v>
      </c>
      <c r="J937" s="4">
        <v>0.0</v>
      </c>
      <c r="K937" s="4">
        <v>17.0</v>
      </c>
      <c r="L937" s="4">
        <v>4.0</v>
      </c>
      <c r="M937" s="4">
        <v>245.0</v>
      </c>
      <c r="N937" s="4">
        <v>1174.0</v>
      </c>
      <c r="O937" s="4">
        <v>2847.0</v>
      </c>
    </row>
    <row r="938">
      <c r="A938" s="4">
        <v>8.877689391E9</v>
      </c>
      <c r="B938" s="5">
        <v>42499.0</v>
      </c>
      <c r="C938" s="4">
        <v>20226.0</v>
      </c>
      <c r="D938" s="4">
        <v>18.25</v>
      </c>
      <c r="E938" s="4">
        <v>18.25</v>
      </c>
      <c r="F938" s="4">
        <v>0.0</v>
      </c>
      <c r="G938" s="4">
        <v>11.1000003814697</v>
      </c>
      <c r="H938" s="4">
        <v>0.800000011920929</v>
      </c>
      <c r="I938" s="4">
        <v>6.23999977111816</v>
      </c>
      <c r="J938" s="4">
        <v>0.0500000007450581</v>
      </c>
      <c r="K938" s="4">
        <v>73.0</v>
      </c>
      <c r="L938" s="4">
        <v>19.0</v>
      </c>
      <c r="M938" s="4">
        <v>217.0</v>
      </c>
      <c r="N938" s="4">
        <v>1131.0</v>
      </c>
      <c r="O938" s="4">
        <v>3710.0</v>
      </c>
    </row>
    <row r="939">
      <c r="A939" s="4">
        <v>8.877689391E9</v>
      </c>
      <c r="B939" s="5">
        <v>42500.0</v>
      </c>
      <c r="C939" s="4">
        <v>10733.0</v>
      </c>
      <c r="D939" s="4">
        <v>8.14999961853027</v>
      </c>
      <c r="E939" s="4">
        <v>8.14999961853027</v>
      </c>
      <c r="F939" s="4">
        <v>0.0</v>
      </c>
      <c r="G939" s="4">
        <v>1.35000002384186</v>
      </c>
      <c r="H939" s="4">
        <v>0.46000000834465</v>
      </c>
      <c r="I939" s="4">
        <v>6.28000020980835</v>
      </c>
      <c r="J939" s="4">
        <v>0.0</v>
      </c>
      <c r="K939" s="4">
        <v>18.0</v>
      </c>
      <c r="L939" s="4">
        <v>11.0</v>
      </c>
      <c r="M939" s="4">
        <v>224.0</v>
      </c>
      <c r="N939" s="4">
        <v>1187.0</v>
      </c>
      <c r="O939" s="4">
        <v>2832.0</v>
      </c>
    </row>
    <row r="940">
      <c r="A940" s="4">
        <v>8.877689391E9</v>
      </c>
      <c r="B940" s="5">
        <v>42501.0</v>
      </c>
      <c r="C940" s="4">
        <v>21420.0</v>
      </c>
      <c r="D940" s="4">
        <v>19.5599994659424</v>
      </c>
      <c r="E940" s="4">
        <v>19.5599994659424</v>
      </c>
      <c r="F940" s="4">
        <v>0.0</v>
      </c>
      <c r="G940" s="4">
        <v>13.2200002670288</v>
      </c>
      <c r="H940" s="4">
        <v>0.409999996423721</v>
      </c>
      <c r="I940" s="4">
        <v>5.8899998664856</v>
      </c>
      <c r="J940" s="4">
        <v>0.0</v>
      </c>
      <c r="K940" s="4">
        <v>88.0</v>
      </c>
      <c r="L940" s="4">
        <v>12.0</v>
      </c>
      <c r="M940" s="4">
        <v>213.0</v>
      </c>
      <c r="N940" s="4">
        <v>1127.0</v>
      </c>
      <c r="O940" s="4">
        <v>3832.0</v>
      </c>
    </row>
    <row r="941">
      <c r="A941" s="4">
        <v>8.877689391E9</v>
      </c>
      <c r="B941" s="5">
        <v>42502.0</v>
      </c>
      <c r="C941" s="4">
        <v>8064.0</v>
      </c>
      <c r="D941" s="4">
        <v>6.11999988555908</v>
      </c>
      <c r="E941" s="4">
        <v>6.11999988555908</v>
      </c>
      <c r="F941" s="4">
        <v>0.0</v>
      </c>
      <c r="G941" s="4">
        <v>1.82000005245209</v>
      </c>
      <c r="H941" s="4">
        <v>0.0399999991059303</v>
      </c>
      <c r="I941" s="4">
        <v>4.25</v>
      </c>
      <c r="J941" s="4">
        <v>0.0</v>
      </c>
      <c r="K941" s="4">
        <v>23.0</v>
      </c>
      <c r="L941" s="4">
        <v>1.0</v>
      </c>
      <c r="M941" s="4">
        <v>137.0</v>
      </c>
      <c r="N941" s="4">
        <v>770.0</v>
      </c>
      <c r="O941" s="4">
        <v>1849.0</v>
      </c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autoFilter ref="$A$1:$Z$94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3" max="3" width="14.88"/>
    <col customWidth="1" min="4" max="4" width="9.75"/>
    <col customWidth="1" min="5" max="5" width="10.75"/>
    <col customWidth="1" min="6" max="6" width="9.25"/>
    <col customWidth="1" min="7" max="7" width="9.63"/>
    <col customWidth="1" min="8" max="8" width="10.25"/>
    <col customWidth="1" min="9" max="9" width="13.5"/>
    <col customWidth="1" min="13" max="13" width="9.5"/>
    <col customWidth="1" min="14" max="14" width="17.75"/>
    <col customWidth="1" min="15" max="15" width="17.88"/>
  </cols>
  <sheetData>
    <row r="1">
      <c r="A1" s="7" t="s">
        <v>0</v>
      </c>
      <c r="B1" s="8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4">
        <v>1.503960366E9</v>
      </c>
      <c r="B2" s="10">
        <v>42472.0</v>
      </c>
      <c r="C2" s="4" t="str">
        <f t="shared" ref="C2:C414" si="1">CONCAT(A2,B2)</f>
        <v>150396036642472</v>
      </c>
      <c r="D2" s="4">
        <v>1.0</v>
      </c>
      <c r="E2" s="4">
        <v>327.0</v>
      </c>
      <c r="F2" s="11">
        <f t="shared" ref="F2:F414" si="2">E2/1440</f>
        <v>0.2270833333</v>
      </c>
      <c r="G2" s="4">
        <v>346.0</v>
      </c>
      <c r="H2" s="11">
        <f t="shared" ref="H2:H414" si="3">G2/1440</f>
        <v>0.2402777778</v>
      </c>
      <c r="I2" s="12">
        <f t="shared" ref="I2:I414" si="4">E2/G2</f>
        <v>0.9450867052</v>
      </c>
      <c r="J2" s="13" t="str">
        <f t="shared" ref="J2:J414" si="5">IF(E2&lt;360, "LOW",IF(E2&lt;480, "OK","HIGH"))</f>
        <v>LOW</v>
      </c>
    </row>
    <row r="3">
      <c r="A3" s="4">
        <v>1.503960366E9</v>
      </c>
      <c r="B3" s="10">
        <v>42473.0</v>
      </c>
      <c r="C3" s="4" t="str">
        <f t="shared" si="1"/>
        <v>150396036642473</v>
      </c>
      <c r="D3" s="4">
        <v>2.0</v>
      </c>
      <c r="E3" s="4">
        <v>384.0</v>
      </c>
      <c r="F3" s="11">
        <f t="shared" si="2"/>
        <v>0.2666666667</v>
      </c>
      <c r="G3" s="4">
        <v>407.0</v>
      </c>
      <c r="H3" s="11">
        <f t="shared" si="3"/>
        <v>0.2826388889</v>
      </c>
      <c r="I3" s="12">
        <f t="shared" si="4"/>
        <v>0.9434889435</v>
      </c>
      <c r="J3" s="13" t="str">
        <f t="shared" si="5"/>
        <v>OK</v>
      </c>
      <c r="P3" s="15"/>
      <c r="Q3" s="15"/>
    </row>
    <row r="4">
      <c r="A4" s="4">
        <v>1.503960366E9</v>
      </c>
      <c r="B4" s="10">
        <v>42475.0</v>
      </c>
      <c r="C4" s="4" t="str">
        <f t="shared" si="1"/>
        <v>150396036642475</v>
      </c>
      <c r="D4" s="4">
        <v>1.0</v>
      </c>
      <c r="E4" s="4">
        <v>412.0</v>
      </c>
      <c r="F4" s="11">
        <f t="shared" si="2"/>
        <v>0.2861111111</v>
      </c>
      <c r="G4" s="4">
        <v>442.0</v>
      </c>
      <c r="H4" s="11">
        <f t="shared" si="3"/>
        <v>0.3069444444</v>
      </c>
      <c r="I4" s="12">
        <f t="shared" si="4"/>
        <v>0.9321266968</v>
      </c>
      <c r="J4" s="13" t="str">
        <f t="shared" si="5"/>
        <v>OK</v>
      </c>
      <c r="P4" s="15"/>
      <c r="Q4" s="15"/>
    </row>
    <row r="5">
      <c r="A5" s="4">
        <v>1.503960366E9</v>
      </c>
      <c r="B5" s="10">
        <v>42476.0</v>
      </c>
      <c r="C5" s="4" t="str">
        <f t="shared" si="1"/>
        <v>150396036642476</v>
      </c>
      <c r="D5" s="4">
        <v>2.0</v>
      </c>
      <c r="E5" s="4">
        <v>340.0</v>
      </c>
      <c r="F5" s="11">
        <f t="shared" si="2"/>
        <v>0.2361111111</v>
      </c>
      <c r="G5" s="4">
        <v>367.0</v>
      </c>
      <c r="H5" s="11">
        <f t="shared" si="3"/>
        <v>0.2548611111</v>
      </c>
      <c r="I5" s="12">
        <f t="shared" si="4"/>
        <v>0.9264305177</v>
      </c>
      <c r="J5" s="13" t="str">
        <f t="shared" si="5"/>
        <v>LOW</v>
      </c>
      <c r="P5" s="15"/>
      <c r="Q5" s="15"/>
    </row>
    <row r="6">
      <c r="A6" s="4">
        <v>1.503960366E9</v>
      </c>
      <c r="B6" s="10">
        <v>42477.0</v>
      </c>
      <c r="C6" s="4" t="str">
        <f t="shared" si="1"/>
        <v>150396036642477</v>
      </c>
      <c r="D6" s="4">
        <v>1.0</v>
      </c>
      <c r="E6" s="4">
        <v>700.0</v>
      </c>
      <c r="F6" s="11">
        <f t="shared" si="2"/>
        <v>0.4861111111</v>
      </c>
      <c r="G6" s="4">
        <v>712.0</v>
      </c>
      <c r="H6" s="11">
        <f t="shared" si="3"/>
        <v>0.4944444444</v>
      </c>
      <c r="I6" s="12">
        <f t="shared" si="4"/>
        <v>0.9831460674</v>
      </c>
      <c r="J6" s="13" t="str">
        <f t="shared" si="5"/>
        <v>HIGH</v>
      </c>
      <c r="P6" s="15"/>
      <c r="Q6" s="15"/>
    </row>
    <row r="7">
      <c r="A7" s="4">
        <v>1.503960366E9</v>
      </c>
      <c r="B7" s="10">
        <v>42479.0</v>
      </c>
      <c r="C7" s="4" t="str">
        <f t="shared" si="1"/>
        <v>150396036642479</v>
      </c>
      <c r="D7" s="4">
        <v>1.0</v>
      </c>
      <c r="E7" s="4">
        <v>304.0</v>
      </c>
      <c r="F7" s="11">
        <f t="shared" si="2"/>
        <v>0.2111111111</v>
      </c>
      <c r="G7" s="4">
        <v>320.0</v>
      </c>
      <c r="H7" s="11">
        <f t="shared" si="3"/>
        <v>0.2222222222</v>
      </c>
      <c r="I7" s="12">
        <f t="shared" si="4"/>
        <v>0.95</v>
      </c>
      <c r="J7" s="13" t="str">
        <f t="shared" si="5"/>
        <v>LOW</v>
      </c>
      <c r="P7" s="15"/>
      <c r="Q7" s="15"/>
    </row>
    <row r="8">
      <c r="A8" s="4">
        <v>1.503960366E9</v>
      </c>
      <c r="B8" s="10">
        <v>42480.0</v>
      </c>
      <c r="C8" s="4" t="str">
        <f t="shared" si="1"/>
        <v>150396036642480</v>
      </c>
      <c r="D8" s="4">
        <v>1.0</v>
      </c>
      <c r="E8" s="4">
        <v>360.0</v>
      </c>
      <c r="F8" s="11">
        <f t="shared" si="2"/>
        <v>0.25</v>
      </c>
      <c r="G8" s="4">
        <v>377.0</v>
      </c>
      <c r="H8" s="11">
        <f t="shared" si="3"/>
        <v>0.2618055556</v>
      </c>
      <c r="I8" s="12">
        <f t="shared" si="4"/>
        <v>0.9549071618</v>
      </c>
      <c r="J8" s="13" t="str">
        <f t="shared" si="5"/>
        <v>OK</v>
      </c>
      <c r="O8" s="15"/>
      <c r="P8" s="15"/>
      <c r="Q8" s="15"/>
    </row>
    <row r="9">
      <c r="A9" s="4">
        <v>1.503960366E9</v>
      </c>
      <c r="B9" s="10">
        <v>42481.0</v>
      </c>
      <c r="C9" s="4" t="str">
        <f t="shared" si="1"/>
        <v>150396036642481</v>
      </c>
      <c r="D9" s="4">
        <v>1.0</v>
      </c>
      <c r="E9" s="4">
        <v>325.0</v>
      </c>
      <c r="F9" s="11">
        <f t="shared" si="2"/>
        <v>0.2256944444</v>
      </c>
      <c r="G9" s="4">
        <v>364.0</v>
      </c>
      <c r="H9" s="11">
        <f t="shared" si="3"/>
        <v>0.2527777778</v>
      </c>
      <c r="I9" s="12">
        <f t="shared" si="4"/>
        <v>0.8928571429</v>
      </c>
      <c r="J9" s="13" t="str">
        <f t="shared" si="5"/>
        <v>LOW</v>
      </c>
      <c r="O9" s="15"/>
      <c r="P9" s="15"/>
      <c r="Q9" s="15"/>
    </row>
    <row r="10">
      <c r="A10" s="4">
        <v>1.503960366E9</v>
      </c>
      <c r="B10" s="10">
        <v>42483.0</v>
      </c>
      <c r="C10" s="4" t="str">
        <f t="shared" si="1"/>
        <v>150396036642483</v>
      </c>
      <c r="D10" s="4">
        <v>1.0</v>
      </c>
      <c r="E10" s="4">
        <v>361.0</v>
      </c>
      <c r="F10" s="11">
        <f t="shared" si="2"/>
        <v>0.2506944444</v>
      </c>
      <c r="G10" s="4">
        <v>384.0</v>
      </c>
      <c r="H10" s="11">
        <f t="shared" si="3"/>
        <v>0.2666666667</v>
      </c>
      <c r="I10" s="12">
        <f t="shared" si="4"/>
        <v>0.9401041667</v>
      </c>
      <c r="J10" s="13" t="str">
        <f t="shared" si="5"/>
        <v>OK</v>
      </c>
      <c r="O10" s="15"/>
      <c r="P10" s="15"/>
      <c r="Q10" s="15"/>
    </row>
    <row r="11">
      <c r="A11" s="4">
        <v>1.503960366E9</v>
      </c>
      <c r="B11" s="10">
        <v>42484.0</v>
      </c>
      <c r="C11" s="4" t="str">
        <f t="shared" si="1"/>
        <v>150396036642484</v>
      </c>
      <c r="D11" s="4">
        <v>1.0</v>
      </c>
      <c r="E11" s="4">
        <v>430.0</v>
      </c>
      <c r="F11" s="11">
        <f t="shared" si="2"/>
        <v>0.2986111111</v>
      </c>
      <c r="G11" s="4">
        <v>449.0</v>
      </c>
      <c r="H11" s="11">
        <f t="shared" si="3"/>
        <v>0.3118055556</v>
      </c>
      <c r="I11" s="12">
        <f t="shared" si="4"/>
        <v>0.9576837416</v>
      </c>
      <c r="J11" s="13" t="str">
        <f t="shared" si="5"/>
        <v>OK</v>
      </c>
      <c r="L11" s="4"/>
      <c r="O11" s="15"/>
      <c r="P11" s="15"/>
      <c r="Q11" s="15"/>
    </row>
    <row r="12">
      <c r="A12" s="4">
        <v>1.503960366E9</v>
      </c>
      <c r="B12" s="10">
        <v>42485.0</v>
      </c>
      <c r="C12" s="4" t="str">
        <f t="shared" si="1"/>
        <v>150396036642485</v>
      </c>
      <c r="D12" s="4">
        <v>1.0</v>
      </c>
      <c r="E12" s="4">
        <v>277.0</v>
      </c>
      <c r="F12" s="11">
        <f t="shared" si="2"/>
        <v>0.1923611111</v>
      </c>
      <c r="G12" s="4">
        <v>323.0</v>
      </c>
      <c r="H12" s="11">
        <f t="shared" si="3"/>
        <v>0.2243055556</v>
      </c>
      <c r="I12" s="12">
        <f t="shared" si="4"/>
        <v>0.8575851393</v>
      </c>
      <c r="J12" s="13" t="str">
        <f t="shared" si="5"/>
        <v>LOW</v>
      </c>
    </row>
    <row r="13">
      <c r="A13" s="4">
        <v>1.503960366E9</v>
      </c>
      <c r="B13" s="10">
        <v>42486.0</v>
      </c>
      <c r="C13" s="4" t="str">
        <f t="shared" si="1"/>
        <v>150396036642486</v>
      </c>
      <c r="D13" s="4">
        <v>1.0</v>
      </c>
      <c r="E13" s="4">
        <v>245.0</v>
      </c>
      <c r="F13" s="11">
        <f t="shared" si="2"/>
        <v>0.1701388889</v>
      </c>
      <c r="G13" s="4">
        <v>274.0</v>
      </c>
      <c r="H13" s="11">
        <f t="shared" si="3"/>
        <v>0.1902777778</v>
      </c>
      <c r="I13" s="12">
        <f t="shared" si="4"/>
        <v>0.8941605839</v>
      </c>
      <c r="J13" s="13" t="str">
        <f t="shared" si="5"/>
        <v>LOW</v>
      </c>
    </row>
    <row r="14">
      <c r="A14" s="4">
        <v>1.503960366E9</v>
      </c>
      <c r="B14" s="10">
        <v>42488.0</v>
      </c>
      <c r="C14" s="4" t="str">
        <f t="shared" si="1"/>
        <v>150396036642488</v>
      </c>
      <c r="D14" s="4">
        <v>1.0</v>
      </c>
      <c r="E14" s="4">
        <v>366.0</v>
      </c>
      <c r="F14" s="11">
        <f t="shared" si="2"/>
        <v>0.2541666667</v>
      </c>
      <c r="G14" s="4">
        <v>393.0</v>
      </c>
      <c r="H14" s="11">
        <f t="shared" si="3"/>
        <v>0.2729166667</v>
      </c>
      <c r="I14" s="12">
        <f t="shared" si="4"/>
        <v>0.9312977099</v>
      </c>
      <c r="J14" s="13" t="str">
        <f t="shared" si="5"/>
        <v>OK</v>
      </c>
    </row>
    <row r="15">
      <c r="A15" s="4">
        <v>1.503960366E9</v>
      </c>
      <c r="B15" s="10">
        <v>42489.0</v>
      </c>
      <c r="C15" s="4" t="str">
        <f t="shared" si="1"/>
        <v>150396036642489</v>
      </c>
      <c r="D15" s="4">
        <v>1.0</v>
      </c>
      <c r="E15" s="4">
        <v>341.0</v>
      </c>
      <c r="F15" s="11">
        <f t="shared" si="2"/>
        <v>0.2368055556</v>
      </c>
      <c r="G15" s="4">
        <v>354.0</v>
      </c>
      <c r="H15" s="11">
        <f t="shared" si="3"/>
        <v>0.2458333333</v>
      </c>
      <c r="I15" s="12">
        <f t="shared" si="4"/>
        <v>0.9632768362</v>
      </c>
      <c r="J15" s="13" t="str">
        <f t="shared" si="5"/>
        <v>LOW</v>
      </c>
    </row>
    <row r="16">
      <c r="A16" s="4">
        <v>1.503960366E9</v>
      </c>
      <c r="B16" s="10">
        <v>42490.0</v>
      </c>
      <c r="C16" s="4" t="str">
        <f t="shared" si="1"/>
        <v>150396036642490</v>
      </c>
      <c r="D16" s="4">
        <v>1.0</v>
      </c>
      <c r="E16" s="4">
        <v>404.0</v>
      </c>
      <c r="F16" s="11">
        <f t="shared" si="2"/>
        <v>0.2805555556</v>
      </c>
      <c r="G16" s="4">
        <v>425.0</v>
      </c>
      <c r="H16" s="11">
        <f t="shared" si="3"/>
        <v>0.2951388889</v>
      </c>
      <c r="I16" s="12">
        <f t="shared" si="4"/>
        <v>0.9505882353</v>
      </c>
      <c r="J16" s="13" t="str">
        <f t="shared" si="5"/>
        <v>OK</v>
      </c>
    </row>
    <row r="17">
      <c r="A17" s="4">
        <v>1.503960366E9</v>
      </c>
      <c r="B17" s="10">
        <v>42491.0</v>
      </c>
      <c r="C17" s="4" t="str">
        <f t="shared" si="1"/>
        <v>150396036642491</v>
      </c>
      <c r="D17" s="4">
        <v>1.0</v>
      </c>
      <c r="E17" s="4">
        <v>369.0</v>
      </c>
      <c r="F17" s="11">
        <f t="shared" si="2"/>
        <v>0.25625</v>
      </c>
      <c r="G17" s="4">
        <v>396.0</v>
      </c>
      <c r="H17" s="11">
        <f t="shared" si="3"/>
        <v>0.275</v>
      </c>
      <c r="I17" s="12">
        <f t="shared" si="4"/>
        <v>0.9318181818</v>
      </c>
      <c r="J17" s="13" t="str">
        <f t="shared" si="5"/>
        <v>OK</v>
      </c>
    </row>
    <row r="18">
      <c r="A18" s="4">
        <v>1.503960366E9</v>
      </c>
      <c r="B18" s="10">
        <v>42492.0</v>
      </c>
      <c r="C18" s="4" t="str">
        <f t="shared" si="1"/>
        <v>150396036642492</v>
      </c>
      <c r="D18" s="4">
        <v>1.0</v>
      </c>
      <c r="E18" s="4">
        <v>277.0</v>
      </c>
      <c r="F18" s="11">
        <f t="shared" si="2"/>
        <v>0.1923611111</v>
      </c>
      <c r="G18" s="4">
        <v>309.0</v>
      </c>
      <c r="H18" s="11">
        <f t="shared" si="3"/>
        <v>0.2145833333</v>
      </c>
      <c r="I18" s="12">
        <f t="shared" si="4"/>
        <v>0.8964401294</v>
      </c>
      <c r="J18" s="13" t="str">
        <f t="shared" si="5"/>
        <v>LOW</v>
      </c>
    </row>
    <row r="19">
      <c r="A19" s="4">
        <v>1.503960366E9</v>
      </c>
      <c r="B19" s="10">
        <v>42493.0</v>
      </c>
      <c r="C19" s="4" t="str">
        <f t="shared" si="1"/>
        <v>150396036642493</v>
      </c>
      <c r="D19" s="4">
        <v>1.0</v>
      </c>
      <c r="E19" s="4">
        <v>273.0</v>
      </c>
      <c r="F19" s="11">
        <f t="shared" si="2"/>
        <v>0.1895833333</v>
      </c>
      <c r="G19" s="4">
        <v>296.0</v>
      </c>
      <c r="H19" s="11">
        <f t="shared" si="3"/>
        <v>0.2055555556</v>
      </c>
      <c r="I19" s="12">
        <f t="shared" si="4"/>
        <v>0.9222972973</v>
      </c>
      <c r="J19" s="13" t="str">
        <f t="shared" si="5"/>
        <v>LOW</v>
      </c>
    </row>
    <row r="20">
      <c r="A20" s="4">
        <v>1.503960366E9</v>
      </c>
      <c r="B20" s="10">
        <v>42495.0</v>
      </c>
      <c r="C20" s="4" t="str">
        <f t="shared" si="1"/>
        <v>150396036642495</v>
      </c>
      <c r="D20" s="4">
        <v>1.0</v>
      </c>
      <c r="E20" s="4">
        <v>247.0</v>
      </c>
      <c r="F20" s="11">
        <f t="shared" si="2"/>
        <v>0.1715277778</v>
      </c>
      <c r="G20" s="4">
        <v>264.0</v>
      </c>
      <c r="H20" s="11">
        <f t="shared" si="3"/>
        <v>0.1833333333</v>
      </c>
      <c r="I20" s="12">
        <f t="shared" si="4"/>
        <v>0.9356060606</v>
      </c>
      <c r="J20" s="13" t="str">
        <f t="shared" si="5"/>
        <v>LOW</v>
      </c>
    </row>
    <row r="21">
      <c r="A21" s="4">
        <v>1.503960366E9</v>
      </c>
      <c r="B21" s="10">
        <v>42496.0</v>
      </c>
      <c r="C21" s="4" t="str">
        <f t="shared" si="1"/>
        <v>150396036642496</v>
      </c>
      <c r="D21" s="4">
        <v>1.0</v>
      </c>
      <c r="E21" s="4">
        <v>334.0</v>
      </c>
      <c r="F21" s="11">
        <f t="shared" si="2"/>
        <v>0.2319444444</v>
      </c>
      <c r="G21" s="4">
        <v>367.0</v>
      </c>
      <c r="H21" s="11">
        <f t="shared" si="3"/>
        <v>0.2548611111</v>
      </c>
      <c r="I21" s="12">
        <f t="shared" si="4"/>
        <v>0.9100817439</v>
      </c>
      <c r="J21" s="13" t="str">
        <f t="shared" si="5"/>
        <v>LOW</v>
      </c>
    </row>
    <row r="22">
      <c r="A22" s="4">
        <v>1.503960366E9</v>
      </c>
      <c r="B22" s="10">
        <v>42497.0</v>
      </c>
      <c r="C22" s="4" t="str">
        <f t="shared" si="1"/>
        <v>150396036642497</v>
      </c>
      <c r="D22" s="4">
        <v>1.0</v>
      </c>
      <c r="E22" s="4">
        <v>331.0</v>
      </c>
      <c r="F22" s="11">
        <f t="shared" si="2"/>
        <v>0.2298611111</v>
      </c>
      <c r="G22" s="4">
        <v>349.0</v>
      </c>
      <c r="H22" s="11">
        <f t="shared" si="3"/>
        <v>0.2423611111</v>
      </c>
      <c r="I22" s="12">
        <f t="shared" si="4"/>
        <v>0.9484240688</v>
      </c>
      <c r="J22" s="13" t="str">
        <f t="shared" si="5"/>
        <v>LOW</v>
      </c>
    </row>
    <row r="23">
      <c r="A23" s="4">
        <v>1.503960366E9</v>
      </c>
      <c r="B23" s="10">
        <v>42498.0</v>
      </c>
      <c r="C23" s="4" t="str">
        <f t="shared" si="1"/>
        <v>150396036642498</v>
      </c>
      <c r="D23" s="4">
        <v>1.0</v>
      </c>
      <c r="E23" s="4">
        <v>594.0</v>
      </c>
      <c r="F23" s="11">
        <f t="shared" si="2"/>
        <v>0.4125</v>
      </c>
      <c r="G23" s="4">
        <v>611.0</v>
      </c>
      <c r="H23" s="11">
        <f t="shared" si="3"/>
        <v>0.4243055556</v>
      </c>
      <c r="I23" s="12">
        <f t="shared" si="4"/>
        <v>0.9721767594</v>
      </c>
      <c r="J23" s="13" t="str">
        <f t="shared" si="5"/>
        <v>HIGH</v>
      </c>
    </row>
    <row r="24">
      <c r="A24" s="4">
        <v>1.503960366E9</v>
      </c>
      <c r="B24" s="10">
        <v>42499.0</v>
      </c>
      <c r="C24" s="4" t="str">
        <f t="shared" si="1"/>
        <v>150396036642499</v>
      </c>
      <c r="D24" s="4">
        <v>1.0</v>
      </c>
      <c r="E24" s="4">
        <v>338.0</v>
      </c>
      <c r="F24" s="11">
        <f t="shared" si="2"/>
        <v>0.2347222222</v>
      </c>
      <c r="G24" s="4">
        <v>342.0</v>
      </c>
      <c r="H24" s="11">
        <f t="shared" si="3"/>
        <v>0.2375</v>
      </c>
      <c r="I24" s="12">
        <f t="shared" si="4"/>
        <v>0.9883040936</v>
      </c>
      <c r="J24" s="13" t="str">
        <f t="shared" si="5"/>
        <v>LOW</v>
      </c>
    </row>
    <row r="25">
      <c r="A25" s="4">
        <v>1.503960366E9</v>
      </c>
      <c r="B25" s="10">
        <v>42500.0</v>
      </c>
      <c r="C25" s="4" t="str">
        <f t="shared" si="1"/>
        <v>150396036642500</v>
      </c>
      <c r="D25" s="4">
        <v>1.0</v>
      </c>
      <c r="E25" s="4">
        <v>383.0</v>
      </c>
      <c r="F25" s="11">
        <f t="shared" si="2"/>
        <v>0.2659722222</v>
      </c>
      <c r="G25" s="4">
        <v>403.0</v>
      </c>
      <c r="H25" s="11">
        <f t="shared" si="3"/>
        <v>0.2798611111</v>
      </c>
      <c r="I25" s="12">
        <f t="shared" si="4"/>
        <v>0.9503722084</v>
      </c>
      <c r="J25" s="13" t="str">
        <f t="shared" si="5"/>
        <v>OK</v>
      </c>
    </row>
    <row r="26">
      <c r="A26" s="4">
        <v>1.503960366E9</v>
      </c>
      <c r="B26" s="10">
        <v>42501.0</v>
      </c>
      <c r="C26" s="4" t="str">
        <f t="shared" si="1"/>
        <v>150396036642501</v>
      </c>
      <c r="D26" s="4">
        <v>1.0</v>
      </c>
      <c r="E26" s="4">
        <v>285.0</v>
      </c>
      <c r="F26" s="11">
        <f t="shared" si="2"/>
        <v>0.1979166667</v>
      </c>
      <c r="G26" s="4">
        <v>306.0</v>
      </c>
      <c r="H26" s="11">
        <f t="shared" si="3"/>
        <v>0.2125</v>
      </c>
      <c r="I26" s="12">
        <f t="shared" si="4"/>
        <v>0.931372549</v>
      </c>
      <c r="J26" s="13" t="str">
        <f t="shared" si="5"/>
        <v>LOW</v>
      </c>
    </row>
    <row r="27">
      <c r="A27" s="4">
        <v>1.644430081E9</v>
      </c>
      <c r="B27" s="10">
        <v>42489.0</v>
      </c>
      <c r="C27" s="4" t="str">
        <f t="shared" si="1"/>
        <v>164443008142489</v>
      </c>
      <c r="D27" s="4">
        <v>1.0</v>
      </c>
      <c r="E27" s="4">
        <v>119.0</v>
      </c>
      <c r="F27" s="11">
        <f t="shared" si="2"/>
        <v>0.08263888889</v>
      </c>
      <c r="G27" s="4">
        <v>127.0</v>
      </c>
      <c r="H27" s="11">
        <f t="shared" si="3"/>
        <v>0.08819444444</v>
      </c>
      <c r="I27" s="12">
        <f t="shared" si="4"/>
        <v>0.937007874</v>
      </c>
      <c r="J27" s="13" t="str">
        <f t="shared" si="5"/>
        <v>LOW</v>
      </c>
    </row>
    <row r="28">
      <c r="A28" s="4">
        <v>1.644430081E9</v>
      </c>
      <c r="B28" s="10">
        <v>42490.0</v>
      </c>
      <c r="C28" s="4" t="str">
        <f t="shared" si="1"/>
        <v>164443008142490</v>
      </c>
      <c r="D28" s="4">
        <v>1.0</v>
      </c>
      <c r="E28" s="4">
        <v>124.0</v>
      </c>
      <c r="F28" s="11">
        <f t="shared" si="2"/>
        <v>0.08611111111</v>
      </c>
      <c r="G28" s="4">
        <v>142.0</v>
      </c>
      <c r="H28" s="11">
        <f t="shared" si="3"/>
        <v>0.09861111111</v>
      </c>
      <c r="I28" s="12">
        <f t="shared" si="4"/>
        <v>0.8732394366</v>
      </c>
      <c r="J28" s="13" t="str">
        <f t="shared" si="5"/>
        <v>LOW</v>
      </c>
    </row>
    <row r="29">
      <c r="A29" s="4">
        <v>1.644430081E9</v>
      </c>
      <c r="B29" s="10">
        <v>42492.0</v>
      </c>
      <c r="C29" s="4" t="str">
        <f t="shared" si="1"/>
        <v>164443008142492</v>
      </c>
      <c r="D29" s="4">
        <v>1.0</v>
      </c>
      <c r="E29" s="4">
        <v>796.0</v>
      </c>
      <c r="F29" s="11">
        <f t="shared" si="2"/>
        <v>0.5527777778</v>
      </c>
      <c r="G29" s="4">
        <v>961.0</v>
      </c>
      <c r="H29" s="11">
        <f t="shared" si="3"/>
        <v>0.6673611111</v>
      </c>
      <c r="I29" s="12">
        <f t="shared" si="4"/>
        <v>0.8283038502</v>
      </c>
      <c r="J29" s="13" t="str">
        <f t="shared" si="5"/>
        <v>HIGH</v>
      </c>
    </row>
    <row r="30">
      <c r="A30" s="4">
        <v>1.644430081E9</v>
      </c>
      <c r="B30" s="10">
        <v>42498.0</v>
      </c>
      <c r="C30" s="4" t="str">
        <f t="shared" si="1"/>
        <v>164443008142498</v>
      </c>
      <c r="D30" s="4">
        <v>1.0</v>
      </c>
      <c r="E30" s="4">
        <v>137.0</v>
      </c>
      <c r="F30" s="11">
        <f t="shared" si="2"/>
        <v>0.09513888889</v>
      </c>
      <c r="G30" s="4">
        <v>154.0</v>
      </c>
      <c r="H30" s="11">
        <f t="shared" si="3"/>
        <v>0.1069444444</v>
      </c>
      <c r="I30" s="12">
        <f t="shared" si="4"/>
        <v>0.8896103896</v>
      </c>
      <c r="J30" s="13" t="str">
        <f t="shared" si="5"/>
        <v>LOW</v>
      </c>
    </row>
    <row r="31">
      <c r="A31" s="4">
        <v>1.844505072E9</v>
      </c>
      <c r="B31" s="10">
        <v>42475.0</v>
      </c>
      <c r="C31" s="4" t="str">
        <f t="shared" si="1"/>
        <v>184450507242475</v>
      </c>
      <c r="D31" s="4">
        <v>1.0</v>
      </c>
      <c r="E31" s="4">
        <v>644.0</v>
      </c>
      <c r="F31" s="11">
        <f t="shared" si="2"/>
        <v>0.4472222222</v>
      </c>
      <c r="G31" s="4">
        <v>961.0</v>
      </c>
      <c r="H31" s="11">
        <f t="shared" si="3"/>
        <v>0.6673611111</v>
      </c>
      <c r="I31" s="12">
        <f t="shared" si="4"/>
        <v>0.6701352758</v>
      </c>
      <c r="J31" s="13" t="str">
        <f t="shared" si="5"/>
        <v>HIGH</v>
      </c>
    </row>
    <row r="32">
      <c r="A32" s="4">
        <v>1.844505072E9</v>
      </c>
      <c r="B32" s="10">
        <v>42490.0</v>
      </c>
      <c r="C32" s="4" t="str">
        <f t="shared" si="1"/>
        <v>184450507242490</v>
      </c>
      <c r="D32" s="4">
        <v>1.0</v>
      </c>
      <c r="E32" s="4">
        <v>722.0</v>
      </c>
      <c r="F32" s="11">
        <f t="shared" si="2"/>
        <v>0.5013888889</v>
      </c>
      <c r="G32" s="4">
        <v>961.0</v>
      </c>
      <c r="H32" s="11">
        <f t="shared" si="3"/>
        <v>0.6673611111</v>
      </c>
      <c r="I32" s="12">
        <f t="shared" si="4"/>
        <v>0.7513007284</v>
      </c>
      <c r="J32" s="13" t="str">
        <f t="shared" si="5"/>
        <v>HIGH</v>
      </c>
    </row>
    <row r="33">
      <c r="A33" s="4">
        <v>1.844505072E9</v>
      </c>
      <c r="B33" s="10">
        <v>42491.0</v>
      </c>
      <c r="C33" s="4" t="str">
        <f t="shared" si="1"/>
        <v>184450507242491</v>
      </c>
      <c r="D33" s="4">
        <v>1.0</v>
      </c>
      <c r="E33" s="4">
        <v>590.0</v>
      </c>
      <c r="F33" s="11">
        <f t="shared" si="2"/>
        <v>0.4097222222</v>
      </c>
      <c r="G33" s="4">
        <v>961.0</v>
      </c>
      <c r="H33" s="11">
        <f t="shared" si="3"/>
        <v>0.6673611111</v>
      </c>
      <c r="I33" s="12">
        <f t="shared" si="4"/>
        <v>0.6139438085</v>
      </c>
      <c r="J33" s="13" t="str">
        <f t="shared" si="5"/>
        <v>HIGH</v>
      </c>
    </row>
    <row r="34">
      <c r="A34" s="4">
        <v>1.927972279E9</v>
      </c>
      <c r="B34" s="10">
        <v>42472.0</v>
      </c>
      <c r="C34" s="4" t="str">
        <f t="shared" si="1"/>
        <v>192797227942472</v>
      </c>
      <c r="D34" s="4">
        <v>3.0</v>
      </c>
      <c r="E34" s="4">
        <v>750.0</v>
      </c>
      <c r="F34" s="11">
        <f t="shared" si="2"/>
        <v>0.5208333333</v>
      </c>
      <c r="G34" s="4">
        <v>775.0</v>
      </c>
      <c r="H34" s="11">
        <f t="shared" si="3"/>
        <v>0.5381944444</v>
      </c>
      <c r="I34" s="12">
        <f t="shared" si="4"/>
        <v>0.9677419355</v>
      </c>
      <c r="J34" s="13" t="str">
        <f t="shared" si="5"/>
        <v>HIGH</v>
      </c>
    </row>
    <row r="35">
      <c r="A35" s="4">
        <v>1.927972279E9</v>
      </c>
      <c r="B35" s="10">
        <v>42473.0</v>
      </c>
      <c r="C35" s="4" t="str">
        <f t="shared" si="1"/>
        <v>192797227942473</v>
      </c>
      <c r="D35" s="4">
        <v>1.0</v>
      </c>
      <c r="E35" s="4">
        <v>398.0</v>
      </c>
      <c r="F35" s="11">
        <f t="shared" si="2"/>
        <v>0.2763888889</v>
      </c>
      <c r="G35" s="4">
        <v>422.0</v>
      </c>
      <c r="H35" s="11">
        <f t="shared" si="3"/>
        <v>0.2930555556</v>
      </c>
      <c r="I35" s="12">
        <f t="shared" si="4"/>
        <v>0.9431279621</v>
      </c>
      <c r="J35" s="13" t="str">
        <f t="shared" si="5"/>
        <v>OK</v>
      </c>
    </row>
    <row r="36">
      <c r="A36" s="4">
        <v>1.927972279E9</v>
      </c>
      <c r="B36" s="10">
        <v>42475.0</v>
      </c>
      <c r="C36" s="4" t="str">
        <f t="shared" si="1"/>
        <v>192797227942475</v>
      </c>
      <c r="D36" s="4">
        <v>2.0</v>
      </c>
      <c r="E36" s="4">
        <v>475.0</v>
      </c>
      <c r="F36" s="11">
        <f t="shared" si="2"/>
        <v>0.3298611111</v>
      </c>
      <c r="G36" s="4">
        <v>499.0</v>
      </c>
      <c r="H36" s="11">
        <f t="shared" si="3"/>
        <v>0.3465277778</v>
      </c>
      <c r="I36" s="12">
        <f t="shared" si="4"/>
        <v>0.9519038076</v>
      </c>
      <c r="J36" s="13" t="str">
        <f t="shared" si="5"/>
        <v>OK</v>
      </c>
    </row>
    <row r="37">
      <c r="A37" s="4">
        <v>1.927972279E9</v>
      </c>
      <c r="B37" s="10">
        <v>42486.0</v>
      </c>
      <c r="C37" s="4" t="str">
        <f t="shared" si="1"/>
        <v>192797227942486</v>
      </c>
      <c r="D37" s="4">
        <v>1.0</v>
      </c>
      <c r="E37" s="4">
        <v>296.0</v>
      </c>
      <c r="F37" s="11">
        <f t="shared" si="2"/>
        <v>0.2055555556</v>
      </c>
      <c r="G37" s="4">
        <v>315.0</v>
      </c>
      <c r="H37" s="11">
        <f t="shared" si="3"/>
        <v>0.21875</v>
      </c>
      <c r="I37" s="12">
        <f t="shared" si="4"/>
        <v>0.9396825397</v>
      </c>
      <c r="J37" s="13" t="str">
        <f t="shared" si="5"/>
        <v>LOW</v>
      </c>
    </row>
    <row r="38">
      <c r="A38" s="4">
        <v>1.927972279E9</v>
      </c>
      <c r="B38" s="10">
        <v>42488.0</v>
      </c>
      <c r="C38" s="4" t="str">
        <f t="shared" si="1"/>
        <v>192797227942488</v>
      </c>
      <c r="D38" s="4">
        <v>1.0</v>
      </c>
      <c r="E38" s="4">
        <v>166.0</v>
      </c>
      <c r="F38" s="11">
        <f t="shared" si="2"/>
        <v>0.1152777778</v>
      </c>
      <c r="G38" s="4">
        <v>178.0</v>
      </c>
      <c r="H38" s="11">
        <f t="shared" si="3"/>
        <v>0.1236111111</v>
      </c>
      <c r="I38" s="12">
        <f t="shared" si="4"/>
        <v>0.9325842697</v>
      </c>
      <c r="J38" s="13" t="str">
        <f t="shared" si="5"/>
        <v>LOW</v>
      </c>
    </row>
    <row r="39">
      <c r="A39" s="4">
        <v>2.026352035E9</v>
      </c>
      <c r="B39" s="10">
        <v>42472.0</v>
      </c>
      <c r="C39" s="4" t="str">
        <f t="shared" si="1"/>
        <v>202635203542472</v>
      </c>
      <c r="D39" s="4">
        <v>1.0</v>
      </c>
      <c r="E39" s="4">
        <v>503.0</v>
      </c>
      <c r="F39" s="11">
        <f t="shared" si="2"/>
        <v>0.3493055556</v>
      </c>
      <c r="G39" s="4">
        <v>546.0</v>
      </c>
      <c r="H39" s="11">
        <f t="shared" si="3"/>
        <v>0.3791666667</v>
      </c>
      <c r="I39" s="12">
        <f t="shared" si="4"/>
        <v>0.9212454212</v>
      </c>
      <c r="J39" s="13" t="str">
        <f t="shared" si="5"/>
        <v>HIGH</v>
      </c>
    </row>
    <row r="40">
      <c r="A40" s="4">
        <v>2.026352035E9</v>
      </c>
      <c r="B40" s="10">
        <v>42473.0</v>
      </c>
      <c r="C40" s="4" t="str">
        <f t="shared" si="1"/>
        <v>202635203542473</v>
      </c>
      <c r="D40" s="4">
        <v>1.0</v>
      </c>
      <c r="E40" s="4">
        <v>531.0</v>
      </c>
      <c r="F40" s="11">
        <f t="shared" si="2"/>
        <v>0.36875</v>
      </c>
      <c r="G40" s="4">
        <v>565.0</v>
      </c>
      <c r="H40" s="11">
        <f t="shared" si="3"/>
        <v>0.3923611111</v>
      </c>
      <c r="I40" s="12">
        <f t="shared" si="4"/>
        <v>0.9398230088</v>
      </c>
      <c r="J40" s="13" t="str">
        <f t="shared" si="5"/>
        <v>HIGH</v>
      </c>
    </row>
    <row r="41">
      <c r="A41" s="4">
        <v>2.026352035E9</v>
      </c>
      <c r="B41" s="10">
        <v>42474.0</v>
      </c>
      <c r="C41" s="4" t="str">
        <f t="shared" si="1"/>
        <v>202635203542474</v>
      </c>
      <c r="D41" s="4">
        <v>1.0</v>
      </c>
      <c r="E41" s="4">
        <v>545.0</v>
      </c>
      <c r="F41" s="11">
        <f t="shared" si="2"/>
        <v>0.3784722222</v>
      </c>
      <c r="G41" s="4">
        <v>568.0</v>
      </c>
      <c r="H41" s="11">
        <f t="shared" si="3"/>
        <v>0.3944444444</v>
      </c>
      <c r="I41" s="12">
        <f t="shared" si="4"/>
        <v>0.9595070423</v>
      </c>
      <c r="J41" s="13" t="str">
        <f t="shared" si="5"/>
        <v>HIGH</v>
      </c>
    </row>
    <row r="42">
      <c r="A42" s="4">
        <v>2.026352035E9</v>
      </c>
      <c r="B42" s="10">
        <v>42475.0</v>
      </c>
      <c r="C42" s="4" t="str">
        <f t="shared" si="1"/>
        <v>202635203542475</v>
      </c>
      <c r="D42" s="4">
        <v>1.0</v>
      </c>
      <c r="E42" s="4">
        <v>523.0</v>
      </c>
      <c r="F42" s="11">
        <f t="shared" si="2"/>
        <v>0.3631944444</v>
      </c>
      <c r="G42" s="4">
        <v>573.0</v>
      </c>
      <c r="H42" s="11">
        <f t="shared" si="3"/>
        <v>0.3979166667</v>
      </c>
      <c r="I42" s="12">
        <f t="shared" si="4"/>
        <v>0.9127399651</v>
      </c>
      <c r="J42" s="13" t="str">
        <f t="shared" si="5"/>
        <v>HIGH</v>
      </c>
    </row>
    <row r="43">
      <c r="A43" s="4">
        <v>2.026352035E9</v>
      </c>
      <c r="B43" s="10">
        <v>42476.0</v>
      </c>
      <c r="C43" s="4" t="str">
        <f t="shared" si="1"/>
        <v>202635203542476</v>
      </c>
      <c r="D43" s="4">
        <v>1.0</v>
      </c>
      <c r="E43" s="4">
        <v>524.0</v>
      </c>
      <c r="F43" s="11">
        <f t="shared" si="2"/>
        <v>0.3638888889</v>
      </c>
      <c r="G43" s="4">
        <v>567.0</v>
      </c>
      <c r="H43" s="11">
        <f t="shared" si="3"/>
        <v>0.39375</v>
      </c>
      <c r="I43" s="12">
        <f t="shared" si="4"/>
        <v>0.9241622575</v>
      </c>
      <c r="J43" s="13" t="str">
        <f t="shared" si="5"/>
        <v>HIGH</v>
      </c>
    </row>
    <row r="44">
      <c r="A44" s="4">
        <v>2.026352035E9</v>
      </c>
      <c r="B44" s="10">
        <v>42477.0</v>
      </c>
      <c r="C44" s="4" t="str">
        <f t="shared" si="1"/>
        <v>202635203542477</v>
      </c>
      <c r="D44" s="4">
        <v>1.0</v>
      </c>
      <c r="E44" s="4">
        <v>437.0</v>
      </c>
      <c r="F44" s="11">
        <f t="shared" si="2"/>
        <v>0.3034722222</v>
      </c>
      <c r="G44" s="4">
        <v>498.0</v>
      </c>
      <c r="H44" s="11">
        <f t="shared" si="3"/>
        <v>0.3458333333</v>
      </c>
      <c r="I44" s="12">
        <f t="shared" si="4"/>
        <v>0.8775100402</v>
      </c>
      <c r="J44" s="13" t="str">
        <f t="shared" si="5"/>
        <v>OK</v>
      </c>
    </row>
    <row r="45">
      <c r="A45" s="4">
        <v>2.026352035E9</v>
      </c>
      <c r="B45" s="10">
        <v>42479.0</v>
      </c>
      <c r="C45" s="4" t="str">
        <f t="shared" si="1"/>
        <v>202635203542479</v>
      </c>
      <c r="D45" s="4">
        <v>1.0</v>
      </c>
      <c r="E45" s="4">
        <v>498.0</v>
      </c>
      <c r="F45" s="11">
        <f t="shared" si="2"/>
        <v>0.3458333333</v>
      </c>
      <c r="G45" s="4">
        <v>540.0</v>
      </c>
      <c r="H45" s="11">
        <f t="shared" si="3"/>
        <v>0.375</v>
      </c>
      <c r="I45" s="12">
        <f t="shared" si="4"/>
        <v>0.9222222222</v>
      </c>
      <c r="J45" s="13" t="str">
        <f t="shared" si="5"/>
        <v>HIGH</v>
      </c>
    </row>
    <row r="46">
      <c r="A46" s="4">
        <v>2.026352035E9</v>
      </c>
      <c r="B46" s="10">
        <v>42480.0</v>
      </c>
      <c r="C46" s="4" t="str">
        <f t="shared" si="1"/>
        <v>202635203542480</v>
      </c>
      <c r="D46" s="4">
        <v>1.0</v>
      </c>
      <c r="E46" s="4">
        <v>461.0</v>
      </c>
      <c r="F46" s="11">
        <f t="shared" si="2"/>
        <v>0.3201388889</v>
      </c>
      <c r="G46" s="4">
        <v>510.0</v>
      </c>
      <c r="H46" s="11">
        <f t="shared" si="3"/>
        <v>0.3541666667</v>
      </c>
      <c r="I46" s="12">
        <f t="shared" si="4"/>
        <v>0.9039215686</v>
      </c>
      <c r="J46" s="13" t="str">
        <f t="shared" si="5"/>
        <v>OK</v>
      </c>
    </row>
    <row r="47">
      <c r="A47" s="4">
        <v>2.026352035E9</v>
      </c>
      <c r="B47" s="10">
        <v>42481.0</v>
      </c>
      <c r="C47" s="4" t="str">
        <f t="shared" si="1"/>
        <v>202635203542481</v>
      </c>
      <c r="D47" s="4">
        <v>1.0</v>
      </c>
      <c r="E47" s="4">
        <v>477.0</v>
      </c>
      <c r="F47" s="11">
        <f t="shared" si="2"/>
        <v>0.33125</v>
      </c>
      <c r="G47" s="4">
        <v>514.0</v>
      </c>
      <c r="H47" s="11">
        <f t="shared" si="3"/>
        <v>0.3569444444</v>
      </c>
      <c r="I47" s="12">
        <f t="shared" si="4"/>
        <v>0.9280155642</v>
      </c>
      <c r="J47" s="13" t="str">
        <f t="shared" si="5"/>
        <v>OK</v>
      </c>
    </row>
    <row r="48">
      <c r="A48" s="4">
        <v>2.026352035E9</v>
      </c>
      <c r="B48" s="10">
        <v>42482.0</v>
      </c>
      <c r="C48" s="4" t="str">
        <f t="shared" si="1"/>
        <v>202635203542482</v>
      </c>
      <c r="D48" s="4">
        <v>1.0</v>
      </c>
      <c r="E48" s="4">
        <v>520.0</v>
      </c>
      <c r="F48" s="11">
        <f t="shared" si="2"/>
        <v>0.3611111111</v>
      </c>
      <c r="G48" s="4">
        <v>545.0</v>
      </c>
      <c r="H48" s="11">
        <f t="shared" si="3"/>
        <v>0.3784722222</v>
      </c>
      <c r="I48" s="12">
        <f t="shared" si="4"/>
        <v>0.9541284404</v>
      </c>
      <c r="J48" s="13" t="str">
        <f t="shared" si="5"/>
        <v>HIGH</v>
      </c>
    </row>
    <row r="49">
      <c r="A49" s="4">
        <v>2.026352035E9</v>
      </c>
      <c r="B49" s="10">
        <v>42483.0</v>
      </c>
      <c r="C49" s="4" t="str">
        <f t="shared" si="1"/>
        <v>202635203542483</v>
      </c>
      <c r="D49" s="4">
        <v>1.0</v>
      </c>
      <c r="E49" s="4">
        <v>522.0</v>
      </c>
      <c r="F49" s="11">
        <f t="shared" si="2"/>
        <v>0.3625</v>
      </c>
      <c r="G49" s="4">
        <v>554.0</v>
      </c>
      <c r="H49" s="11">
        <f t="shared" si="3"/>
        <v>0.3847222222</v>
      </c>
      <c r="I49" s="12">
        <f t="shared" si="4"/>
        <v>0.9422382671</v>
      </c>
      <c r="J49" s="13" t="str">
        <f t="shared" si="5"/>
        <v>HIGH</v>
      </c>
    </row>
    <row r="50">
      <c r="A50" s="4">
        <v>2.026352035E9</v>
      </c>
      <c r="B50" s="10">
        <v>42484.0</v>
      </c>
      <c r="C50" s="4" t="str">
        <f t="shared" si="1"/>
        <v>202635203542484</v>
      </c>
      <c r="D50" s="4">
        <v>1.0</v>
      </c>
      <c r="E50" s="4">
        <v>555.0</v>
      </c>
      <c r="F50" s="11">
        <f t="shared" si="2"/>
        <v>0.3854166667</v>
      </c>
      <c r="G50" s="4">
        <v>591.0</v>
      </c>
      <c r="H50" s="11">
        <f t="shared" si="3"/>
        <v>0.4104166667</v>
      </c>
      <c r="I50" s="12">
        <f t="shared" si="4"/>
        <v>0.9390862944</v>
      </c>
      <c r="J50" s="13" t="str">
        <f t="shared" si="5"/>
        <v>HIGH</v>
      </c>
    </row>
    <row r="51">
      <c r="A51" s="4">
        <v>2.026352035E9</v>
      </c>
      <c r="B51" s="10">
        <v>42485.0</v>
      </c>
      <c r="C51" s="4" t="str">
        <f t="shared" si="1"/>
        <v>202635203542485</v>
      </c>
      <c r="D51" s="4">
        <v>1.0</v>
      </c>
      <c r="E51" s="4">
        <v>506.0</v>
      </c>
      <c r="F51" s="11">
        <f t="shared" si="2"/>
        <v>0.3513888889</v>
      </c>
      <c r="G51" s="4">
        <v>531.0</v>
      </c>
      <c r="H51" s="11">
        <f t="shared" si="3"/>
        <v>0.36875</v>
      </c>
      <c r="I51" s="12">
        <f t="shared" si="4"/>
        <v>0.9529190207</v>
      </c>
      <c r="J51" s="13" t="str">
        <f t="shared" si="5"/>
        <v>HIGH</v>
      </c>
    </row>
    <row r="52">
      <c r="A52" s="4">
        <v>2.026352035E9</v>
      </c>
      <c r="B52" s="10">
        <v>42487.0</v>
      </c>
      <c r="C52" s="4" t="str">
        <f t="shared" si="1"/>
        <v>202635203542487</v>
      </c>
      <c r="D52" s="4">
        <v>1.0</v>
      </c>
      <c r="E52" s="4">
        <v>508.0</v>
      </c>
      <c r="F52" s="11">
        <f t="shared" si="2"/>
        <v>0.3527777778</v>
      </c>
      <c r="G52" s="4">
        <v>545.0</v>
      </c>
      <c r="H52" s="11">
        <f t="shared" si="3"/>
        <v>0.3784722222</v>
      </c>
      <c r="I52" s="12">
        <f t="shared" si="4"/>
        <v>0.9321100917</v>
      </c>
      <c r="J52" s="13" t="str">
        <f t="shared" si="5"/>
        <v>HIGH</v>
      </c>
    </row>
    <row r="53">
      <c r="A53" s="4">
        <v>2.026352035E9</v>
      </c>
      <c r="B53" s="10">
        <v>42488.0</v>
      </c>
      <c r="C53" s="4" t="str">
        <f t="shared" si="1"/>
        <v>202635203542488</v>
      </c>
      <c r="D53" s="4">
        <v>1.0</v>
      </c>
      <c r="E53" s="4">
        <v>513.0</v>
      </c>
      <c r="F53" s="11">
        <f t="shared" si="2"/>
        <v>0.35625</v>
      </c>
      <c r="G53" s="4">
        <v>545.0</v>
      </c>
      <c r="H53" s="11">
        <f t="shared" si="3"/>
        <v>0.3784722222</v>
      </c>
      <c r="I53" s="12">
        <f t="shared" si="4"/>
        <v>0.9412844037</v>
      </c>
      <c r="J53" s="13" t="str">
        <f t="shared" si="5"/>
        <v>HIGH</v>
      </c>
    </row>
    <row r="54">
      <c r="A54" s="4">
        <v>2.026352035E9</v>
      </c>
      <c r="B54" s="10">
        <v>42489.0</v>
      </c>
      <c r="C54" s="4" t="str">
        <f t="shared" si="1"/>
        <v>202635203542489</v>
      </c>
      <c r="D54" s="4">
        <v>1.0</v>
      </c>
      <c r="E54" s="4">
        <v>490.0</v>
      </c>
      <c r="F54" s="11">
        <f t="shared" si="2"/>
        <v>0.3402777778</v>
      </c>
      <c r="G54" s="4">
        <v>510.0</v>
      </c>
      <c r="H54" s="11">
        <f t="shared" si="3"/>
        <v>0.3541666667</v>
      </c>
      <c r="I54" s="12">
        <f t="shared" si="4"/>
        <v>0.9607843137</v>
      </c>
      <c r="J54" s="13" t="str">
        <f t="shared" si="5"/>
        <v>HIGH</v>
      </c>
    </row>
    <row r="55">
      <c r="A55" s="4">
        <v>2.026352035E9</v>
      </c>
      <c r="B55" s="10">
        <v>42490.0</v>
      </c>
      <c r="C55" s="4" t="str">
        <f t="shared" si="1"/>
        <v>202635203542490</v>
      </c>
      <c r="D55" s="4">
        <v>1.0</v>
      </c>
      <c r="E55" s="4">
        <v>573.0</v>
      </c>
      <c r="F55" s="11">
        <f t="shared" si="2"/>
        <v>0.3979166667</v>
      </c>
      <c r="G55" s="4">
        <v>607.0</v>
      </c>
      <c r="H55" s="11">
        <f t="shared" si="3"/>
        <v>0.4215277778</v>
      </c>
      <c r="I55" s="12">
        <f t="shared" si="4"/>
        <v>0.9439868204</v>
      </c>
      <c r="J55" s="13" t="str">
        <f t="shared" si="5"/>
        <v>HIGH</v>
      </c>
    </row>
    <row r="56">
      <c r="A56" s="4">
        <v>2.026352035E9</v>
      </c>
      <c r="B56" s="10">
        <v>42491.0</v>
      </c>
      <c r="C56" s="4" t="str">
        <f t="shared" si="1"/>
        <v>202635203542491</v>
      </c>
      <c r="D56" s="4">
        <v>1.0</v>
      </c>
      <c r="E56" s="4">
        <v>527.0</v>
      </c>
      <c r="F56" s="11">
        <f t="shared" si="2"/>
        <v>0.3659722222</v>
      </c>
      <c r="G56" s="4">
        <v>546.0</v>
      </c>
      <c r="H56" s="11">
        <f t="shared" si="3"/>
        <v>0.3791666667</v>
      </c>
      <c r="I56" s="12">
        <f t="shared" si="4"/>
        <v>0.9652014652</v>
      </c>
      <c r="J56" s="13" t="str">
        <f t="shared" si="5"/>
        <v>HIGH</v>
      </c>
    </row>
    <row r="57">
      <c r="A57" s="4">
        <v>2.026352035E9</v>
      </c>
      <c r="B57" s="10">
        <v>42492.0</v>
      </c>
      <c r="C57" s="4" t="str">
        <f t="shared" si="1"/>
        <v>202635203542492</v>
      </c>
      <c r="D57" s="4">
        <v>1.0</v>
      </c>
      <c r="E57" s="4">
        <v>511.0</v>
      </c>
      <c r="F57" s="11">
        <f t="shared" si="2"/>
        <v>0.3548611111</v>
      </c>
      <c r="G57" s="4">
        <v>543.0</v>
      </c>
      <c r="H57" s="11">
        <f t="shared" si="3"/>
        <v>0.3770833333</v>
      </c>
      <c r="I57" s="12">
        <f t="shared" si="4"/>
        <v>0.94106814</v>
      </c>
      <c r="J57" s="13" t="str">
        <f t="shared" si="5"/>
        <v>HIGH</v>
      </c>
    </row>
    <row r="58">
      <c r="A58" s="4">
        <v>2.026352035E9</v>
      </c>
      <c r="B58" s="10">
        <v>42494.0</v>
      </c>
      <c r="C58" s="4" t="str">
        <f t="shared" si="1"/>
        <v>202635203542494</v>
      </c>
      <c r="D58" s="4">
        <v>1.0</v>
      </c>
      <c r="E58" s="4">
        <v>538.0</v>
      </c>
      <c r="F58" s="11">
        <f t="shared" si="2"/>
        <v>0.3736111111</v>
      </c>
      <c r="G58" s="4">
        <v>560.0</v>
      </c>
      <c r="H58" s="11">
        <f t="shared" si="3"/>
        <v>0.3888888889</v>
      </c>
      <c r="I58" s="12">
        <f t="shared" si="4"/>
        <v>0.9607142857</v>
      </c>
      <c r="J58" s="13" t="str">
        <f t="shared" si="5"/>
        <v>HIGH</v>
      </c>
    </row>
    <row r="59">
      <c r="A59" s="4">
        <v>2.026352035E9</v>
      </c>
      <c r="B59" s="10">
        <v>42495.0</v>
      </c>
      <c r="C59" s="4" t="str">
        <f t="shared" si="1"/>
        <v>202635203542495</v>
      </c>
      <c r="D59" s="4">
        <v>1.0</v>
      </c>
      <c r="E59" s="4">
        <v>468.0</v>
      </c>
      <c r="F59" s="11">
        <f t="shared" si="2"/>
        <v>0.325</v>
      </c>
      <c r="G59" s="4">
        <v>485.0</v>
      </c>
      <c r="H59" s="11">
        <f t="shared" si="3"/>
        <v>0.3368055556</v>
      </c>
      <c r="I59" s="12">
        <f t="shared" si="4"/>
        <v>0.9649484536</v>
      </c>
      <c r="J59" s="13" t="str">
        <f t="shared" si="5"/>
        <v>OK</v>
      </c>
    </row>
    <row r="60">
      <c r="A60" s="4">
        <v>2.026352035E9</v>
      </c>
      <c r="B60" s="10">
        <v>42496.0</v>
      </c>
      <c r="C60" s="4" t="str">
        <f t="shared" si="1"/>
        <v>202635203542496</v>
      </c>
      <c r="D60" s="4">
        <v>1.0</v>
      </c>
      <c r="E60" s="4">
        <v>524.0</v>
      </c>
      <c r="F60" s="11">
        <f t="shared" si="2"/>
        <v>0.3638888889</v>
      </c>
      <c r="G60" s="4">
        <v>548.0</v>
      </c>
      <c r="H60" s="11">
        <f t="shared" si="3"/>
        <v>0.3805555556</v>
      </c>
      <c r="I60" s="12">
        <f t="shared" si="4"/>
        <v>0.9562043796</v>
      </c>
      <c r="J60" s="13" t="str">
        <f t="shared" si="5"/>
        <v>HIGH</v>
      </c>
    </row>
    <row r="61">
      <c r="A61" s="4">
        <v>2.026352035E9</v>
      </c>
      <c r="B61" s="10">
        <v>42497.0</v>
      </c>
      <c r="C61" s="4" t="str">
        <f t="shared" si="1"/>
        <v>202635203542497</v>
      </c>
      <c r="D61" s="4">
        <v>1.0</v>
      </c>
      <c r="E61" s="4">
        <v>511.0</v>
      </c>
      <c r="F61" s="11">
        <f t="shared" si="2"/>
        <v>0.3548611111</v>
      </c>
      <c r="G61" s="4">
        <v>521.0</v>
      </c>
      <c r="H61" s="11">
        <f t="shared" si="3"/>
        <v>0.3618055556</v>
      </c>
      <c r="I61" s="12">
        <f t="shared" si="4"/>
        <v>0.980806142</v>
      </c>
      <c r="J61" s="13" t="str">
        <f t="shared" si="5"/>
        <v>HIGH</v>
      </c>
    </row>
    <row r="62">
      <c r="A62" s="4">
        <v>2.026352035E9</v>
      </c>
      <c r="B62" s="10">
        <v>42498.0</v>
      </c>
      <c r="C62" s="4" t="str">
        <f t="shared" si="1"/>
        <v>202635203542498</v>
      </c>
      <c r="D62" s="4">
        <v>1.0</v>
      </c>
      <c r="E62" s="4">
        <v>541.0</v>
      </c>
      <c r="F62" s="11">
        <f t="shared" si="2"/>
        <v>0.3756944444</v>
      </c>
      <c r="G62" s="4">
        <v>568.0</v>
      </c>
      <c r="H62" s="11">
        <f t="shared" si="3"/>
        <v>0.3944444444</v>
      </c>
      <c r="I62" s="12">
        <f t="shared" si="4"/>
        <v>0.9524647887</v>
      </c>
      <c r="J62" s="13" t="str">
        <f t="shared" si="5"/>
        <v>HIGH</v>
      </c>
    </row>
    <row r="63">
      <c r="A63" s="4">
        <v>2.026352035E9</v>
      </c>
      <c r="B63" s="10">
        <v>42499.0</v>
      </c>
      <c r="C63" s="4" t="str">
        <f t="shared" si="1"/>
        <v>202635203542499</v>
      </c>
      <c r="D63" s="4">
        <v>1.0</v>
      </c>
      <c r="E63" s="4">
        <v>531.0</v>
      </c>
      <c r="F63" s="11">
        <f t="shared" si="2"/>
        <v>0.36875</v>
      </c>
      <c r="G63" s="4">
        <v>556.0</v>
      </c>
      <c r="H63" s="11">
        <f t="shared" si="3"/>
        <v>0.3861111111</v>
      </c>
      <c r="I63" s="12">
        <f t="shared" si="4"/>
        <v>0.9550359712</v>
      </c>
      <c r="J63" s="13" t="str">
        <f t="shared" si="5"/>
        <v>HIGH</v>
      </c>
    </row>
    <row r="64">
      <c r="A64" s="4">
        <v>2.026352035E9</v>
      </c>
      <c r="B64" s="10">
        <v>42500.0</v>
      </c>
      <c r="C64" s="4" t="str">
        <f t="shared" si="1"/>
        <v>202635203542500</v>
      </c>
      <c r="D64" s="4">
        <v>1.0</v>
      </c>
      <c r="E64" s="4">
        <v>357.0</v>
      </c>
      <c r="F64" s="11">
        <f t="shared" si="2"/>
        <v>0.2479166667</v>
      </c>
      <c r="G64" s="4">
        <v>380.0</v>
      </c>
      <c r="H64" s="11">
        <f t="shared" si="3"/>
        <v>0.2638888889</v>
      </c>
      <c r="I64" s="12">
        <f t="shared" si="4"/>
        <v>0.9394736842</v>
      </c>
      <c r="J64" s="13" t="str">
        <f t="shared" si="5"/>
        <v>LOW</v>
      </c>
    </row>
    <row r="65">
      <c r="A65" s="4">
        <v>2.026352035E9</v>
      </c>
      <c r="B65" s="10">
        <v>42501.0</v>
      </c>
      <c r="C65" s="4" t="str">
        <f t="shared" si="1"/>
        <v>202635203542501</v>
      </c>
      <c r="D65" s="4">
        <v>1.0</v>
      </c>
      <c r="E65" s="4">
        <v>523.0</v>
      </c>
      <c r="F65" s="11">
        <f t="shared" si="2"/>
        <v>0.3631944444</v>
      </c>
      <c r="G65" s="4">
        <v>553.0</v>
      </c>
      <c r="H65" s="11">
        <f t="shared" si="3"/>
        <v>0.3840277778</v>
      </c>
      <c r="I65" s="12">
        <f t="shared" si="4"/>
        <v>0.9457504521</v>
      </c>
      <c r="J65" s="13" t="str">
        <f t="shared" si="5"/>
        <v>HIGH</v>
      </c>
    </row>
    <row r="66">
      <c r="A66" s="4">
        <v>2.026352035E9</v>
      </c>
      <c r="B66" s="10">
        <v>42502.0</v>
      </c>
      <c r="C66" s="4" t="str">
        <f t="shared" si="1"/>
        <v>202635203542502</v>
      </c>
      <c r="D66" s="4">
        <v>1.0</v>
      </c>
      <c r="E66" s="4">
        <v>456.0</v>
      </c>
      <c r="F66" s="11">
        <f t="shared" si="2"/>
        <v>0.3166666667</v>
      </c>
      <c r="G66" s="4">
        <v>485.0</v>
      </c>
      <c r="H66" s="11">
        <f t="shared" si="3"/>
        <v>0.3368055556</v>
      </c>
      <c r="I66" s="12">
        <f t="shared" si="4"/>
        <v>0.9402061856</v>
      </c>
      <c r="J66" s="13" t="str">
        <f t="shared" si="5"/>
        <v>OK</v>
      </c>
    </row>
    <row r="67">
      <c r="A67" s="4">
        <v>2.320127002E9</v>
      </c>
      <c r="B67" s="10">
        <v>42483.0</v>
      </c>
      <c r="C67" s="4" t="str">
        <f t="shared" si="1"/>
        <v>232012700242483</v>
      </c>
      <c r="D67" s="4">
        <v>1.0</v>
      </c>
      <c r="E67" s="4">
        <v>61.0</v>
      </c>
      <c r="F67" s="11">
        <f t="shared" si="2"/>
        <v>0.04236111111</v>
      </c>
      <c r="G67" s="4">
        <v>69.0</v>
      </c>
      <c r="H67" s="11">
        <f t="shared" si="3"/>
        <v>0.04791666667</v>
      </c>
      <c r="I67" s="12">
        <f t="shared" si="4"/>
        <v>0.884057971</v>
      </c>
      <c r="J67" s="13" t="str">
        <f t="shared" si="5"/>
        <v>LOW</v>
      </c>
    </row>
    <row r="68">
      <c r="A68" s="4">
        <v>2.347167796E9</v>
      </c>
      <c r="B68" s="10">
        <v>42473.0</v>
      </c>
      <c r="C68" s="4" t="str">
        <f t="shared" si="1"/>
        <v>234716779642473</v>
      </c>
      <c r="D68" s="4">
        <v>1.0</v>
      </c>
      <c r="E68" s="4">
        <v>467.0</v>
      </c>
      <c r="F68" s="11">
        <f t="shared" si="2"/>
        <v>0.3243055556</v>
      </c>
      <c r="G68" s="4">
        <v>531.0</v>
      </c>
      <c r="H68" s="11">
        <f t="shared" si="3"/>
        <v>0.36875</v>
      </c>
      <c r="I68" s="12">
        <f t="shared" si="4"/>
        <v>0.879472693</v>
      </c>
      <c r="J68" s="13" t="str">
        <f t="shared" si="5"/>
        <v>OK</v>
      </c>
    </row>
    <row r="69">
      <c r="A69" s="4">
        <v>2.347167796E9</v>
      </c>
      <c r="B69" s="10">
        <v>42474.0</v>
      </c>
      <c r="C69" s="4" t="str">
        <f t="shared" si="1"/>
        <v>234716779642474</v>
      </c>
      <c r="D69" s="4">
        <v>1.0</v>
      </c>
      <c r="E69" s="4">
        <v>445.0</v>
      </c>
      <c r="F69" s="11">
        <f t="shared" si="2"/>
        <v>0.3090277778</v>
      </c>
      <c r="G69" s="4">
        <v>489.0</v>
      </c>
      <c r="H69" s="11">
        <f t="shared" si="3"/>
        <v>0.3395833333</v>
      </c>
      <c r="I69" s="12">
        <f t="shared" si="4"/>
        <v>0.9100204499</v>
      </c>
      <c r="J69" s="13" t="str">
        <f t="shared" si="5"/>
        <v>OK</v>
      </c>
    </row>
    <row r="70">
      <c r="A70" s="4">
        <v>2.347167796E9</v>
      </c>
      <c r="B70" s="10">
        <v>42475.0</v>
      </c>
      <c r="C70" s="4" t="str">
        <f t="shared" si="1"/>
        <v>234716779642475</v>
      </c>
      <c r="D70" s="4">
        <v>1.0</v>
      </c>
      <c r="E70" s="4">
        <v>452.0</v>
      </c>
      <c r="F70" s="11">
        <f t="shared" si="2"/>
        <v>0.3138888889</v>
      </c>
      <c r="G70" s="4">
        <v>504.0</v>
      </c>
      <c r="H70" s="11">
        <f t="shared" si="3"/>
        <v>0.35</v>
      </c>
      <c r="I70" s="12">
        <f t="shared" si="4"/>
        <v>0.8968253968</v>
      </c>
      <c r="J70" s="13" t="str">
        <f t="shared" si="5"/>
        <v>OK</v>
      </c>
    </row>
    <row r="71">
      <c r="A71" s="4">
        <v>2.347167796E9</v>
      </c>
      <c r="B71" s="10">
        <v>42477.0</v>
      </c>
      <c r="C71" s="4" t="str">
        <f t="shared" si="1"/>
        <v>234716779642477</v>
      </c>
      <c r="D71" s="4">
        <v>1.0</v>
      </c>
      <c r="E71" s="4">
        <v>556.0</v>
      </c>
      <c r="F71" s="11">
        <f t="shared" si="2"/>
        <v>0.3861111111</v>
      </c>
      <c r="G71" s="4">
        <v>602.0</v>
      </c>
      <c r="H71" s="11">
        <f t="shared" si="3"/>
        <v>0.4180555556</v>
      </c>
      <c r="I71" s="12">
        <f t="shared" si="4"/>
        <v>0.9235880399</v>
      </c>
      <c r="J71" s="13" t="str">
        <f t="shared" si="5"/>
        <v>HIGH</v>
      </c>
    </row>
    <row r="72">
      <c r="A72" s="4">
        <v>2.347167796E9</v>
      </c>
      <c r="B72" s="10">
        <v>42478.0</v>
      </c>
      <c r="C72" s="4" t="str">
        <f t="shared" si="1"/>
        <v>234716779642478</v>
      </c>
      <c r="D72" s="4">
        <v>1.0</v>
      </c>
      <c r="E72" s="4">
        <v>500.0</v>
      </c>
      <c r="F72" s="11">
        <f t="shared" si="2"/>
        <v>0.3472222222</v>
      </c>
      <c r="G72" s="4">
        <v>557.0</v>
      </c>
      <c r="H72" s="11">
        <f t="shared" si="3"/>
        <v>0.3868055556</v>
      </c>
      <c r="I72" s="12">
        <f t="shared" si="4"/>
        <v>0.8976660682</v>
      </c>
      <c r="J72" s="13" t="str">
        <f t="shared" si="5"/>
        <v>HIGH</v>
      </c>
    </row>
    <row r="73">
      <c r="A73" s="4">
        <v>2.347167796E9</v>
      </c>
      <c r="B73" s="10">
        <v>42479.0</v>
      </c>
      <c r="C73" s="4" t="str">
        <f t="shared" si="1"/>
        <v>234716779642479</v>
      </c>
      <c r="D73" s="4">
        <v>1.0</v>
      </c>
      <c r="E73" s="4">
        <v>465.0</v>
      </c>
      <c r="F73" s="11">
        <f t="shared" si="2"/>
        <v>0.3229166667</v>
      </c>
      <c r="G73" s="4">
        <v>514.0</v>
      </c>
      <c r="H73" s="11">
        <f t="shared" si="3"/>
        <v>0.3569444444</v>
      </c>
      <c r="I73" s="12">
        <f t="shared" si="4"/>
        <v>0.9046692607</v>
      </c>
      <c r="J73" s="13" t="str">
        <f t="shared" si="5"/>
        <v>OK</v>
      </c>
    </row>
    <row r="74">
      <c r="A74" s="4">
        <v>2.347167796E9</v>
      </c>
      <c r="B74" s="10">
        <v>42481.0</v>
      </c>
      <c r="C74" s="4" t="str">
        <f t="shared" si="1"/>
        <v>234716779642481</v>
      </c>
      <c r="D74" s="4">
        <v>1.0</v>
      </c>
      <c r="E74" s="4">
        <v>460.0</v>
      </c>
      <c r="F74" s="11">
        <f t="shared" si="2"/>
        <v>0.3194444444</v>
      </c>
      <c r="G74" s="4">
        <v>484.0</v>
      </c>
      <c r="H74" s="11">
        <f t="shared" si="3"/>
        <v>0.3361111111</v>
      </c>
      <c r="I74" s="12">
        <f t="shared" si="4"/>
        <v>0.9504132231</v>
      </c>
      <c r="J74" s="13" t="str">
        <f t="shared" si="5"/>
        <v>OK</v>
      </c>
    </row>
    <row r="75">
      <c r="A75" s="4">
        <v>2.347167796E9</v>
      </c>
      <c r="B75" s="10">
        <v>42482.0</v>
      </c>
      <c r="C75" s="4" t="str">
        <f t="shared" si="1"/>
        <v>234716779642482</v>
      </c>
      <c r="D75" s="4">
        <v>1.0</v>
      </c>
      <c r="E75" s="4">
        <v>405.0</v>
      </c>
      <c r="F75" s="11">
        <f t="shared" si="2"/>
        <v>0.28125</v>
      </c>
      <c r="G75" s="4">
        <v>461.0</v>
      </c>
      <c r="H75" s="11">
        <f t="shared" si="3"/>
        <v>0.3201388889</v>
      </c>
      <c r="I75" s="12">
        <f t="shared" si="4"/>
        <v>0.8785249458</v>
      </c>
      <c r="J75" s="13" t="str">
        <f t="shared" si="5"/>
        <v>OK</v>
      </c>
    </row>
    <row r="76">
      <c r="A76" s="4">
        <v>2.347167796E9</v>
      </c>
      <c r="B76" s="10">
        <v>42483.0</v>
      </c>
      <c r="C76" s="4" t="str">
        <f t="shared" si="1"/>
        <v>234716779642483</v>
      </c>
      <c r="D76" s="4">
        <v>1.0</v>
      </c>
      <c r="E76" s="4">
        <v>374.0</v>
      </c>
      <c r="F76" s="11">
        <f t="shared" si="2"/>
        <v>0.2597222222</v>
      </c>
      <c r="G76" s="4">
        <v>386.0</v>
      </c>
      <c r="H76" s="11">
        <f t="shared" si="3"/>
        <v>0.2680555556</v>
      </c>
      <c r="I76" s="12">
        <f t="shared" si="4"/>
        <v>0.9689119171</v>
      </c>
      <c r="J76" s="13" t="str">
        <f t="shared" si="5"/>
        <v>OK</v>
      </c>
    </row>
    <row r="77">
      <c r="A77" s="4">
        <v>2.347167796E9</v>
      </c>
      <c r="B77" s="10">
        <v>42484.0</v>
      </c>
      <c r="C77" s="4" t="str">
        <f t="shared" si="1"/>
        <v>234716779642484</v>
      </c>
      <c r="D77" s="4">
        <v>1.0</v>
      </c>
      <c r="E77" s="4">
        <v>442.0</v>
      </c>
      <c r="F77" s="11">
        <f t="shared" si="2"/>
        <v>0.3069444444</v>
      </c>
      <c r="G77" s="4">
        <v>459.0</v>
      </c>
      <c r="H77" s="11">
        <f t="shared" si="3"/>
        <v>0.31875</v>
      </c>
      <c r="I77" s="12">
        <f t="shared" si="4"/>
        <v>0.962962963</v>
      </c>
      <c r="J77" s="13" t="str">
        <f t="shared" si="5"/>
        <v>OK</v>
      </c>
    </row>
    <row r="78">
      <c r="A78" s="4">
        <v>2.347167796E9</v>
      </c>
      <c r="B78" s="10">
        <v>42485.0</v>
      </c>
      <c r="C78" s="4" t="str">
        <f t="shared" si="1"/>
        <v>234716779642485</v>
      </c>
      <c r="D78" s="4">
        <v>1.0</v>
      </c>
      <c r="E78" s="4">
        <v>433.0</v>
      </c>
      <c r="F78" s="11">
        <f t="shared" si="2"/>
        <v>0.3006944444</v>
      </c>
      <c r="G78" s="4">
        <v>471.0</v>
      </c>
      <c r="H78" s="11">
        <f t="shared" si="3"/>
        <v>0.3270833333</v>
      </c>
      <c r="I78" s="12">
        <f t="shared" si="4"/>
        <v>0.9193205945</v>
      </c>
      <c r="J78" s="13" t="str">
        <f t="shared" si="5"/>
        <v>OK</v>
      </c>
    </row>
    <row r="79">
      <c r="A79" s="4">
        <v>2.347167796E9</v>
      </c>
      <c r="B79" s="10">
        <v>42486.0</v>
      </c>
      <c r="C79" s="4" t="str">
        <f t="shared" si="1"/>
        <v>234716779642486</v>
      </c>
      <c r="D79" s="4">
        <v>1.0</v>
      </c>
      <c r="E79" s="4">
        <v>436.0</v>
      </c>
      <c r="F79" s="11">
        <f t="shared" si="2"/>
        <v>0.3027777778</v>
      </c>
      <c r="G79" s="4">
        <v>490.0</v>
      </c>
      <c r="H79" s="11">
        <f t="shared" si="3"/>
        <v>0.3402777778</v>
      </c>
      <c r="I79" s="12">
        <f t="shared" si="4"/>
        <v>0.8897959184</v>
      </c>
      <c r="J79" s="13" t="str">
        <f t="shared" si="5"/>
        <v>OK</v>
      </c>
    </row>
    <row r="80">
      <c r="A80" s="4">
        <v>2.347167796E9</v>
      </c>
      <c r="B80" s="10">
        <v>42487.0</v>
      </c>
      <c r="C80" s="4" t="str">
        <f t="shared" si="1"/>
        <v>234716779642487</v>
      </c>
      <c r="D80" s="4">
        <v>1.0</v>
      </c>
      <c r="E80" s="4">
        <v>448.0</v>
      </c>
      <c r="F80" s="11">
        <f t="shared" si="2"/>
        <v>0.3111111111</v>
      </c>
      <c r="G80" s="4">
        <v>499.0</v>
      </c>
      <c r="H80" s="11">
        <f t="shared" si="3"/>
        <v>0.3465277778</v>
      </c>
      <c r="I80" s="12">
        <f t="shared" si="4"/>
        <v>0.8977955912</v>
      </c>
      <c r="J80" s="13" t="str">
        <f t="shared" si="5"/>
        <v>OK</v>
      </c>
    </row>
    <row r="81">
      <c r="A81" s="4">
        <v>2.347167796E9</v>
      </c>
      <c r="B81" s="10">
        <v>42488.0</v>
      </c>
      <c r="C81" s="4" t="str">
        <f t="shared" si="1"/>
        <v>234716779642488</v>
      </c>
      <c r="D81" s="4">
        <v>1.0</v>
      </c>
      <c r="E81" s="4">
        <v>408.0</v>
      </c>
      <c r="F81" s="11">
        <f t="shared" si="2"/>
        <v>0.2833333333</v>
      </c>
      <c r="G81" s="4">
        <v>450.0</v>
      </c>
      <c r="H81" s="11">
        <f t="shared" si="3"/>
        <v>0.3125</v>
      </c>
      <c r="I81" s="12">
        <f t="shared" si="4"/>
        <v>0.9066666667</v>
      </c>
      <c r="J81" s="13" t="str">
        <f t="shared" si="5"/>
        <v>OK</v>
      </c>
    </row>
    <row r="82">
      <c r="A82" s="4">
        <v>2.347167796E9</v>
      </c>
      <c r="B82" s="10">
        <v>42489.0</v>
      </c>
      <c r="C82" s="4" t="str">
        <f t="shared" si="1"/>
        <v>234716779642489</v>
      </c>
      <c r="D82" s="4">
        <v>1.0</v>
      </c>
      <c r="E82" s="4">
        <v>411.0</v>
      </c>
      <c r="F82" s="11">
        <f t="shared" si="2"/>
        <v>0.2854166667</v>
      </c>
      <c r="G82" s="4">
        <v>473.0</v>
      </c>
      <c r="H82" s="11">
        <f t="shared" si="3"/>
        <v>0.3284722222</v>
      </c>
      <c r="I82" s="12">
        <f t="shared" si="4"/>
        <v>0.8689217759</v>
      </c>
      <c r="J82" s="13" t="str">
        <f t="shared" si="5"/>
        <v>OK</v>
      </c>
    </row>
    <row r="83">
      <c r="A83" s="4">
        <v>3.977333714E9</v>
      </c>
      <c r="B83" s="10">
        <v>42472.0</v>
      </c>
      <c r="C83" s="4" t="str">
        <f t="shared" si="1"/>
        <v>397733371442472</v>
      </c>
      <c r="D83" s="4">
        <v>1.0</v>
      </c>
      <c r="E83" s="4">
        <v>274.0</v>
      </c>
      <c r="F83" s="11">
        <f t="shared" si="2"/>
        <v>0.1902777778</v>
      </c>
      <c r="G83" s="4">
        <v>469.0</v>
      </c>
      <c r="H83" s="11">
        <f t="shared" si="3"/>
        <v>0.3256944444</v>
      </c>
      <c r="I83" s="12">
        <f t="shared" si="4"/>
        <v>0.5842217484</v>
      </c>
      <c r="J83" s="13" t="str">
        <f t="shared" si="5"/>
        <v>LOW</v>
      </c>
    </row>
    <row r="84">
      <c r="A84" s="4">
        <v>3.977333714E9</v>
      </c>
      <c r="B84" s="10">
        <v>42473.0</v>
      </c>
      <c r="C84" s="4" t="str">
        <f t="shared" si="1"/>
        <v>397733371442473</v>
      </c>
      <c r="D84" s="4">
        <v>2.0</v>
      </c>
      <c r="E84" s="4">
        <v>295.0</v>
      </c>
      <c r="F84" s="11">
        <f t="shared" si="2"/>
        <v>0.2048611111</v>
      </c>
      <c r="G84" s="4">
        <v>456.0</v>
      </c>
      <c r="H84" s="11">
        <f t="shared" si="3"/>
        <v>0.3166666667</v>
      </c>
      <c r="I84" s="12">
        <f t="shared" si="4"/>
        <v>0.6469298246</v>
      </c>
      <c r="J84" s="13" t="str">
        <f t="shared" si="5"/>
        <v>LOW</v>
      </c>
    </row>
    <row r="85">
      <c r="A85" s="4">
        <v>3.977333714E9</v>
      </c>
      <c r="B85" s="10">
        <v>42474.0</v>
      </c>
      <c r="C85" s="4" t="str">
        <f t="shared" si="1"/>
        <v>397733371442474</v>
      </c>
      <c r="D85" s="4">
        <v>1.0</v>
      </c>
      <c r="E85" s="4">
        <v>291.0</v>
      </c>
      <c r="F85" s="11">
        <f t="shared" si="2"/>
        <v>0.2020833333</v>
      </c>
      <c r="G85" s="4">
        <v>397.0</v>
      </c>
      <c r="H85" s="11">
        <f t="shared" si="3"/>
        <v>0.2756944444</v>
      </c>
      <c r="I85" s="12">
        <f t="shared" si="4"/>
        <v>0.7329974811</v>
      </c>
      <c r="J85" s="13" t="str">
        <f t="shared" si="5"/>
        <v>LOW</v>
      </c>
    </row>
    <row r="86">
      <c r="A86" s="4">
        <v>3.977333714E9</v>
      </c>
      <c r="B86" s="10">
        <v>42475.0</v>
      </c>
      <c r="C86" s="4" t="str">
        <f t="shared" si="1"/>
        <v>397733371442475</v>
      </c>
      <c r="D86" s="4">
        <v>1.0</v>
      </c>
      <c r="E86" s="4">
        <v>424.0</v>
      </c>
      <c r="F86" s="11">
        <f t="shared" si="2"/>
        <v>0.2944444444</v>
      </c>
      <c r="G86" s="4">
        <v>556.0</v>
      </c>
      <c r="H86" s="11">
        <f t="shared" si="3"/>
        <v>0.3861111111</v>
      </c>
      <c r="I86" s="12">
        <f t="shared" si="4"/>
        <v>0.7625899281</v>
      </c>
      <c r="J86" s="13" t="str">
        <f t="shared" si="5"/>
        <v>OK</v>
      </c>
    </row>
    <row r="87">
      <c r="A87" s="4">
        <v>3.977333714E9</v>
      </c>
      <c r="B87" s="10">
        <v>42476.0</v>
      </c>
      <c r="C87" s="4" t="str">
        <f t="shared" si="1"/>
        <v>397733371442476</v>
      </c>
      <c r="D87" s="4">
        <v>1.0</v>
      </c>
      <c r="E87" s="4">
        <v>283.0</v>
      </c>
      <c r="F87" s="11">
        <f t="shared" si="2"/>
        <v>0.1965277778</v>
      </c>
      <c r="G87" s="4">
        <v>510.0</v>
      </c>
      <c r="H87" s="11">
        <f t="shared" si="3"/>
        <v>0.3541666667</v>
      </c>
      <c r="I87" s="12">
        <f t="shared" si="4"/>
        <v>0.5549019608</v>
      </c>
      <c r="J87" s="13" t="str">
        <f t="shared" si="5"/>
        <v>LOW</v>
      </c>
    </row>
    <row r="88">
      <c r="A88" s="4">
        <v>3.977333714E9</v>
      </c>
      <c r="B88" s="10">
        <v>42477.0</v>
      </c>
      <c r="C88" s="4" t="str">
        <f t="shared" si="1"/>
        <v>397733371442477</v>
      </c>
      <c r="D88" s="4">
        <v>1.0</v>
      </c>
      <c r="E88" s="4">
        <v>381.0</v>
      </c>
      <c r="F88" s="11">
        <f t="shared" si="2"/>
        <v>0.2645833333</v>
      </c>
      <c r="G88" s="4">
        <v>566.0</v>
      </c>
      <c r="H88" s="11">
        <f t="shared" si="3"/>
        <v>0.3930555556</v>
      </c>
      <c r="I88" s="12">
        <f t="shared" si="4"/>
        <v>0.6731448763</v>
      </c>
      <c r="J88" s="13" t="str">
        <f t="shared" si="5"/>
        <v>OK</v>
      </c>
    </row>
    <row r="89">
      <c r="A89" s="4">
        <v>3.977333714E9</v>
      </c>
      <c r="B89" s="10">
        <v>42478.0</v>
      </c>
      <c r="C89" s="4" t="str">
        <f t="shared" si="1"/>
        <v>397733371442478</v>
      </c>
      <c r="D89" s="4">
        <v>2.0</v>
      </c>
      <c r="E89" s="4">
        <v>412.0</v>
      </c>
      <c r="F89" s="11">
        <f t="shared" si="2"/>
        <v>0.2861111111</v>
      </c>
      <c r="G89" s="4">
        <v>522.0</v>
      </c>
      <c r="H89" s="11">
        <f t="shared" si="3"/>
        <v>0.3625</v>
      </c>
      <c r="I89" s="12">
        <f t="shared" si="4"/>
        <v>0.7892720307</v>
      </c>
      <c r="J89" s="13" t="str">
        <f t="shared" si="5"/>
        <v>OK</v>
      </c>
    </row>
    <row r="90">
      <c r="A90" s="4">
        <v>3.977333714E9</v>
      </c>
      <c r="B90" s="10">
        <v>42479.0</v>
      </c>
      <c r="C90" s="4" t="str">
        <f t="shared" si="1"/>
        <v>397733371442479</v>
      </c>
      <c r="D90" s="4">
        <v>1.0</v>
      </c>
      <c r="E90" s="4">
        <v>219.0</v>
      </c>
      <c r="F90" s="11">
        <f t="shared" si="2"/>
        <v>0.1520833333</v>
      </c>
      <c r="G90" s="4">
        <v>395.0</v>
      </c>
      <c r="H90" s="11">
        <f t="shared" si="3"/>
        <v>0.2743055556</v>
      </c>
      <c r="I90" s="12">
        <f t="shared" si="4"/>
        <v>0.5544303797</v>
      </c>
      <c r="J90" s="13" t="str">
        <f t="shared" si="5"/>
        <v>LOW</v>
      </c>
    </row>
    <row r="91">
      <c r="A91" s="4">
        <v>3.977333714E9</v>
      </c>
      <c r="B91" s="10">
        <v>42480.0</v>
      </c>
      <c r="C91" s="4" t="str">
        <f t="shared" si="1"/>
        <v>397733371442480</v>
      </c>
      <c r="D91" s="4">
        <v>2.0</v>
      </c>
      <c r="E91" s="4">
        <v>152.0</v>
      </c>
      <c r="F91" s="11">
        <f t="shared" si="2"/>
        <v>0.1055555556</v>
      </c>
      <c r="G91" s="4">
        <v>305.0</v>
      </c>
      <c r="H91" s="11">
        <f t="shared" si="3"/>
        <v>0.2118055556</v>
      </c>
      <c r="I91" s="12">
        <f t="shared" si="4"/>
        <v>0.4983606557</v>
      </c>
      <c r="J91" s="13" t="str">
        <f t="shared" si="5"/>
        <v>LOW</v>
      </c>
    </row>
    <row r="92">
      <c r="A92" s="4">
        <v>3.977333714E9</v>
      </c>
      <c r="B92" s="10">
        <v>42481.0</v>
      </c>
      <c r="C92" s="4" t="str">
        <f t="shared" si="1"/>
        <v>397733371442481</v>
      </c>
      <c r="D92" s="4">
        <v>1.0</v>
      </c>
      <c r="E92" s="4">
        <v>332.0</v>
      </c>
      <c r="F92" s="11">
        <f t="shared" si="2"/>
        <v>0.2305555556</v>
      </c>
      <c r="G92" s="4">
        <v>512.0</v>
      </c>
      <c r="H92" s="11">
        <f t="shared" si="3"/>
        <v>0.3555555556</v>
      </c>
      <c r="I92" s="12">
        <f t="shared" si="4"/>
        <v>0.6484375</v>
      </c>
      <c r="J92" s="13" t="str">
        <f t="shared" si="5"/>
        <v>LOW</v>
      </c>
    </row>
    <row r="93">
      <c r="A93" s="4">
        <v>3.977333714E9</v>
      </c>
      <c r="B93" s="10">
        <v>42482.0</v>
      </c>
      <c r="C93" s="4" t="str">
        <f t="shared" si="1"/>
        <v>397733371442482</v>
      </c>
      <c r="D93" s="4">
        <v>1.0</v>
      </c>
      <c r="E93" s="4">
        <v>355.0</v>
      </c>
      <c r="F93" s="11">
        <f t="shared" si="2"/>
        <v>0.2465277778</v>
      </c>
      <c r="G93" s="4">
        <v>476.0</v>
      </c>
      <c r="H93" s="11">
        <f t="shared" si="3"/>
        <v>0.3305555556</v>
      </c>
      <c r="I93" s="12">
        <f t="shared" si="4"/>
        <v>0.7457983193</v>
      </c>
      <c r="J93" s="13" t="str">
        <f t="shared" si="5"/>
        <v>LOW</v>
      </c>
    </row>
    <row r="94">
      <c r="A94" s="4">
        <v>3.977333714E9</v>
      </c>
      <c r="B94" s="10">
        <v>42483.0</v>
      </c>
      <c r="C94" s="4" t="str">
        <f t="shared" si="1"/>
        <v>397733371442483</v>
      </c>
      <c r="D94" s="4">
        <v>1.0</v>
      </c>
      <c r="E94" s="4">
        <v>235.0</v>
      </c>
      <c r="F94" s="11">
        <f t="shared" si="2"/>
        <v>0.1631944444</v>
      </c>
      <c r="G94" s="4">
        <v>372.0</v>
      </c>
      <c r="H94" s="11">
        <f t="shared" si="3"/>
        <v>0.2583333333</v>
      </c>
      <c r="I94" s="12">
        <f t="shared" si="4"/>
        <v>0.6317204301</v>
      </c>
      <c r="J94" s="13" t="str">
        <f t="shared" si="5"/>
        <v>LOW</v>
      </c>
    </row>
    <row r="95">
      <c r="A95" s="4">
        <v>3.977333714E9</v>
      </c>
      <c r="B95" s="10">
        <v>42484.0</v>
      </c>
      <c r="C95" s="4" t="str">
        <f t="shared" si="1"/>
        <v>397733371442484</v>
      </c>
      <c r="D95" s="4">
        <v>1.0</v>
      </c>
      <c r="E95" s="4">
        <v>310.0</v>
      </c>
      <c r="F95" s="11">
        <f t="shared" si="2"/>
        <v>0.2152777778</v>
      </c>
      <c r="G95" s="4">
        <v>526.0</v>
      </c>
      <c r="H95" s="11">
        <f t="shared" si="3"/>
        <v>0.3652777778</v>
      </c>
      <c r="I95" s="12">
        <f t="shared" si="4"/>
        <v>0.5893536122</v>
      </c>
      <c r="J95" s="13" t="str">
        <f t="shared" si="5"/>
        <v>LOW</v>
      </c>
    </row>
    <row r="96">
      <c r="A96" s="4">
        <v>3.977333714E9</v>
      </c>
      <c r="B96" s="10">
        <v>42485.0</v>
      </c>
      <c r="C96" s="4" t="str">
        <f t="shared" si="1"/>
        <v>397733371442485</v>
      </c>
      <c r="D96" s="4">
        <v>1.0</v>
      </c>
      <c r="E96" s="4">
        <v>262.0</v>
      </c>
      <c r="F96" s="11">
        <f t="shared" si="2"/>
        <v>0.1819444444</v>
      </c>
      <c r="G96" s="4">
        <v>467.0</v>
      </c>
      <c r="H96" s="11">
        <f t="shared" si="3"/>
        <v>0.3243055556</v>
      </c>
      <c r="I96" s="12">
        <f t="shared" si="4"/>
        <v>0.5610278373</v>
      </c>
      <c r="J96" s="13" t="str">
        <f t="shared" si="5"/>
        <v>LOW</v>
      </c>
    </row>
    <row r="97">
      <c r="A97" s="4">
        <v>3.977333714E9</v>
      </c>
      <c r="B97" s="10">
        <v>42486.0</v>
      </c>
      <c r="C97" s="4" t="str">
        <f t="shared" si="1"/>
        <v>397733371442486</v>
      </c>
      <c r="D97" s="4">
        <v>1.0</v>
      </c>
      <c r="E97" s="4">
        <v>250.0</v>
      </c>
      <c r="F97" s="11">
        <f t="shared" si="2"/>
        <v>0.1736111111</v>
      </c>
      <c r="G97" s="4">
        <v>371.0</v>
      </c>
      <c r="H97" s="11">
        <f t="shared" si="3"/>
        <v>0.2576388889</v>
      </c>
      <c r="I97" s="12">
        <f t="shared" si="4"/>
        <v>0.6738544474</v>
      </c>
      <c r="J97" s="13" t="str">
        <f t="shared" si="5"/>
        <v>LOW</v>
      </c>
    </row>
    <row r="98">
      <c r="A98" s="4">
        <v>3.977333714E9</v>
      </c>
      <c r="B98" s="10">
        <v>42487.0</v>
      </c>
      <c r="C98" s="4" t="str">
        <f t="shared" si="1"/>
        <v>397733371442487</v>
      </c>
      <c r="D98" s="4">
        <v>1.0</v>
      </c>
      <c r="E98" s="4">
        <v>349.0</v>
      </c>
      <c r="F98" s="11">
        <f t="shared" si="2"/>
        <v>0.2423611111</v>
      </c>
      <c r="G98" s="4">
        <v>540.0</v>
      </c>
      <c r="H98" s="11">
        <f t="shared" si="3"/>
        <v>0.375</v>
      </c>
      <c r="I98" s="12">
        <f t="shared" si="4"/>
        <v>0.6462962963</v>
      </c>
      <c r="J98" s="13" t="str">
        <f t="shared" si="5"/>
        <v>LOW</v>
      </c>
    </row>
    <row r="99">
      <c r="A99" s="4">
        <v>3.977333714E9</v>
      </c>
      <c r="B99" s="10">
        <v>42488.0</v>
      </c>
      <c r="C99" s="4" t="str">
        <f t="shared" si="1"/>
        <v>397733371442488</v>
      </c>
      <c r="D99" s="4">
        <v>1.0</v>
      </c>
      <c r="E99" s="4">
        <v>261.0</v>
      </c>
      <c r="F99" s="11">
        <f t="shared" si="2"/>
        <v>0.18125</v>
      </c>
      <c r="G99" s="4">
        <v>423.0</v>
      </c>
      <c r="H99" s="11">
        <f t="shared" si="3"/>
        <v>0.29375</v>
      </c>
      <c r="I99" s="12">
        <f t="shared" si="4"/>
        <v>0.6170212766</v>
      </c>
      <c r="J99" s="13" t="str">
        <f t="shared" si="5"/>
        <v>LOW</v>
      </c>
    </row>
    <row r="100">
      <c r="A100" s="4">
        <v>3.977333714E9</v>
      </c>
      <c r="B100" s="10">
        <v>42489.0</v>
      </c>
      <c r="C100" s="4" t="str">
        <f t="shared" si="1"/>
        <v>397733371442489</v>
      </c>
      <c r="D100" s="4">
        <v>1.0</v>
      </c>
      <c r="E100" s="4">
        <v>333.0</v>
      </c>
      <c r="F100" s="11">
        <f t="shared" si="2"/>
        <v>0.23125</v>
      </c>
      <c r="G100" s="4">
        <v>478.0</v>
      </c>
      <c r="H100" s="11">
        <f t="shared" si="3"/>
        <v>0.3319444444</v>
      </c>
      <c r="I100" s="12">
        <f t="shared" si="4"/>
        <v>0.6966527197</v>
      </c>
      <c r="J100" s="13" t="str">
        <f t="shared" si="5"/>
        <v>LOW</v>
      </c>
    </row>
    <row r="101">
      <c r="A101" s="4">
        <v>3.977333714E9</v>
      </c>
      <c r="B101" s="10">
        <v>42490.0</v>
      </c>
      <c r="C101" s="4" t="str">
        <f t="shared" si="1"/>
        <v>397733371442490</v>
      </c>
      <c r="D101" s="4">
        <v>1.0</v>
      </c>
      <c r="E101" s="4">
        <v>237.0</v>
      </c>
      <c r="F101" s="11">
        <f t="shared" si="2"/>
        <v>0.1645833333</v>
      </c>
      <c r="G101" s="4">
        <v>382.0</v>
      </c>
      <c r="H101" s="11">
        <f t="shared" si="3"/>
        <v>0.2652777778</v>
      </c>
      <c r="I101" s="12">
        <f t="shared" si="4"/>
        <v>0.6204188482</v>
      </c>
      <c r="J101" s="13" t="str">
        <f t="shared" si="5"/>
        <v>LOW</v>
      </c>
    </row>
    <row r="102">
      <c r="A102" s="4">
        <v>3.977333714E9</v>
      </c>
      <c r="B102" s="10">
        <v>42491.0</v>
      </c>
      <c r="C102" s="4" t="str">
        <f t="shared" si="1"/>
        <v>397733371442491</v>
      </c>
      <c r="D102" s="4">
        <v>1.0</v>
      </c>
      <c r="E102" s="4">
        <v>383.0</v>
      </c>
      <c r="F102" s="11">
        <f t="shared" si="2"/>
        <v>0.2659722222</v>
      </c>
      <c r="G102" s="4">
        <v>626.0</v>
      </c>
      <c r="H102" s="11">
        <f t="shared" si="3"/>
        <v>0.4347222222</v>
      </c>
      <c r="I102" s="12">
        <f t="shared" si="4"/>
        <v>0.6118210863</v>
      </c>
      <c r="J102" s="13" t="str">
        <f t="shared" si="5"/>
        <v>OK</v>
      </c>
    </row>
    <row r="103">
      <c r="A103" s="4">
        <v>3.977333714E9</v>
      </c>
      <c r="B103" s="10">
        <v>42492.0</v>
      </c>
      <c r="C103" s="4" t="str">
        <f t="shared" si="1"/>
        <v>397733371442492</v>
      </c>
      <c r="D103" s="4">
        <v>1.0</v>
      </c>
      <c r="E103" s="4">
        <v>230.0</v>
      </c>
      <c r="F103" s="11">
        <f t="shared" si="2"/>
        <v>0.1597222222</v>
      </c>
      <c r="G103" s="4">
        <v>384.0</v>
      </c>
      <c r="H103" s="11">
        <f t="shared" si="3"/>
        <v>0.2666666667</v>
      </c>
      <c r="I103" s="12">
        <f t="shared" si="4"/>
        <v>0.5989583333</v>
      </c>
      <c r="J103" s="13" t="str">
        <f t="shared" si="5"/>
        <v>LOW</v>
      </c>
    </row>
    <row r="104">
      <c r="A104" s="4">
        <v>3.977333714E9</v>
      </c>
      <c r="B104" s="10">
        <v>42493.0</v>
      </c>
      <c r="C104" s="4" t="str">
        <f t="shared" si="1"/>
        <v>397733371442493</v>
      </c>
      <c r="D104" s="4">
        <v>1.0</v>
      </c>
      <c r="E104" s="4">
        <v>292.0</v>
      </c>
      <c r="F104" s="11">
        <f t="shared" si="2"/>
        <v>0.2027777778</v>
      </c>
      <c r="G104" s="4">
        <v>500.0</v>
      </c>
      <c r="H104" s="11">
        <f t="shared" si="3"/>
        <v>0.3472222222</v>
      </c>
      <c r="I104" s="12">
        <f t="shared" si="4"/>
        <v>0.584</v>
      </c>
      <c r="J104" s="13" t="str">
        <f t="shared" si="5"/>
        <v>LOW</v>
      </c>
    </row>
    <row r="105">
      <c r="A105" s="4">
        <v>3.977333714E9</v>
      </c>
      <c r="B105" s="10">
        <v>42494.0</v>
      </c>
      <c r="C105" s="4" t="str">
        <f t="shared" si="1"/>
        <v>397733371442494</v>
      </c>
      <c r="D105" s="4">
        <v>1.0</v>
      </c>
      <c r="E105" s="4">
        <v>213.0</v>
      </c>
      <c r="F105" s="11">
        <f t="shared" si="2"/>
        <v>0.1479166667</v>
      </c>
      <c r="G105" s="4">
        <v>336.0</v>
      </c>
      <c r="H105" s="11">
        <f t="shared" si="3"/>
        <v>0.2333333333</v>
      </c>
      <c r="I105" s="12">
        <f t="shared" si="4"/>
        <v>0.6339285714</v>
      </c>
      <c r="J105" s="13" t="str">
        <f t="shared" si="5"/>
        <v>LOW</v>
      </c>
    </row>
    <row r="106">
      <c r="A106" s="4">
        <v>3.977333714E9</v>
      </c>
      <c r="B106" s="10">
        <v>42495.0</v>
      </c>
      <c r="C106" s="4" t="str">
        <f t="shared" si="1"/>
        <v>397733371442495</v>
      </c>
      <c r="D106" s="4">
        <v>1.0</v>
      </c>
      <c r="E106" s="4">
        <v>318.0</v>
      </c>
      <c r="F106" s="11">
        <f t="shared" si="2"/>
        <v>0.2208333333</v>
      </c>
      <c r="G106" s="4">
        <v>480.0</v>
      </c>
      <c r="H106" s="11">
        <f t="shared" si="3"/>
        <v>0.3333333333</v>
      </c>
      <c r="I106" s="12">
        <f t="shared" si="4"/>
        <v>0.6625</v>
      </c>
      <c r="J106" s="13" t="str">
        <f t="shared" si="5"/>
        <v>LOW</v>
      </c>
    </row>
    <row r="107">
      <c r="A107" s="4">
        <v>3.977333714E9</v>
      </c>
      <c r="B107" s="10">
        <v>42496.0</v>
      </c>
      <c r="C107" s="4" t="str">
        <f t="shared" si="1"/>
        <v>397733371442496</v>
      </c>
      <c r="D107" s="4">
        <v>1.0</v>
      </c>
      <c r="E107" s="4">
        <v>323.0</v>
      </c>
      <c r="F107" s="11">
        <f t="shared" si="2"/>
        <v>0.2243055556</v>
      </c>
      <c r="G107" s="4">
        <v>512.0</v>
      </c>
      <c r="H107" s="11">
        <f t="shared" si="3"/>
        <v>0.3555555556</v>
      </c>
      <c r="I107" s="12">
        <f t="shared" si="4"/>
        <v>0.630859375</v>
      </c>
      <c r="J107" s="13" t="str">
        <f t="shared" si="5"/>
        <v>LOW</v>
      </c>
    </row>
    <row r="108">
      <c r="A108" s="4">
        <v>3.977333714E9</v>
      </c>
      <c r="B108" s="10">
        <v>42497.0</v>
      </c>
      <c r="C108" s="4" t="str">
        <f t="shared" si="1"/>
        <v>397733371442497</v>
      </c>
      <c r="D108" s="4">
        <v>1.0</v>
      </c>
      <c r="E108" s="4">
        <v>237.0</v>
      </c>
      <c r="F108" s="11">
        <f t="shared" si="2"/>
        <v>0.1645833333</v>
      </c>
      <c r="G108" s="4">
        <v>443.0</v>
      </c>
      <c r="H108" s="11">
        <f t="shared" si="3"/>
        <v>0.3076388889</v>
      </c>
      <c r="I108" s="12">
        <f t="shared" si="4"/>
        <v>0.5349887133</v>
      </c>
      <c r="J108" s="13" t="str">
        <f t="shared" si="5"/>
        <v>LOW</v>
      </c>
    </row>
    <row r="109">
      <c r="A109" s="4">
        <v>3.977333714E9</v>
      </c>
      <c r="B109" s="10">
        <v>42498.0</v>
      </c>
      <c r="C109" s="4" t="str">
        <f t="shared" si="1"/>
        <v>397733371442498</v>
      </c>
      <c r="D109" s="4">
        <v>2.0</v>
      </c>
      <c r="E109" s="4">
        <v>259.0</v>
      </c>
      <c r="F109" s="11">
        <f t="shared" si="2"/>
        <v>0.1798611111</v>
      </c>
      <c r="G109" s="4">
        <v>456.0</v>
      </c>
      <c r="H109" s="11">
        <f t="shared" si="3"/>
        <v>0.3166666667</v>
      </c>
      <c r="I109" s="12">
        <f t="shared" si="4"/>
        <v>0.5679824561</v>
      </c>
      <c r="J109" s="13" t="str">
        <f t="shared" si="5"/>
        <v>LOW</v>
      </c>
    </row>
    <row r="110">
      <c r="A110" s="4">
        <v>3.977333714E9</v>
      </c>
      <c r="B110" s="10">
        <v>42500.0</v>
      </c>
      <c r="C110" s="4" t="str">
        <f t="shared" si="1"/>
        <v>397733371442500</v>
      </c>
      <c r="D110" s="4">
        <v>1.0</v>
      </c>
      <c r="E110" s="4">
        <v>312.0</v>
      </c>
      <c r="F110" s="11">
        <f t="shared" si="2"/>
        <v>0.2166666667</v>
      </c>
      <c r="G110" s="4">
        <v>452.0</v>
      </c>
      <c r="H110" s="11">
        <f t="shared" si="3"/>
        <v>0.3138888889</v>
      </c>
      <c r="I110" s="12">
        <f t="shared" si="4"/>
        <v>0.6902654867</v>
      </c>
      <c r="J110" s="13" t="str">
        <f t="shared" si="5"/>
        <v>LOW</v>
      </c>
    </row>
    <row r="111">
      <c r="A111" s="4">
        <v>4.02033265E9</v>
      </c>
      <c r="B111" s="10">
        <v>42472.0</v>
      </c>
      <c r="C111" s="4" t="str">
        <f t="shared" si="1"/>
        <v>402033265042472</v>
      </c>
      <c r="D111" s="4">
        <v>1.0</v>
      </c>
      <c r="E111" s="4">
        <v>501.0</v>
      </c>
      <c r="F111" s="11">
        <f t="shared" si="2"/>
        <v>0.3479166667</v>
      </c>
      <c r="G111" s="4">
        <v>541.0</v>
      </c>
      <c r="H111" s="11">
        <f t="shared" si="3"/>
        <v>0.3756944444</v>
      </c>
      <c r="I111" s="12">
        <f t="shared" si="4"/>
        <v>0.9260628466</v>
      </c>
      <c r="J111" s="13" t="str">
        <f t="shared" si="5"/>
        <v>HIGH</v>
      </c>
    </row>
    <row r="112">
      <c r="A112" s="4">
        <v>4.02033265E9</v>
      </c>
      <c r="B112" s="10">
        <v>42476.0</v>
      </c>
      <c r="C112" s="4" t="str">
        <f t="shared" si="1"/>
        <v>402033265042476</v>
      </c>
      <c r="D112" s="4">
        <v>1.0</v>
      </c>
      <c r="E112" s="4">
        <v>77.0</v>
      </c>
      <c r="F112" s="11">
        <f t="shared" si="2"/>
        <v>0.05347222222</v>
      </c>
      <c r="G112" s="4">
        <v>77.0</v>
      </c>
      <c r="H112" s="11">
        <f t="shared" si="3"/>
        <v>0.05347222222</v>
      </c>
      <c r="I112" s="12">
        <f t="shared" si="4"/>
        <v>1</v>
      </c>
      <c r="J112" s="13" t="str">
        <f t="shared" si="5"/>
        <v>LOW</v>
      </c>
    </row>
    <row r="113">
      <c r="A113" s="4">
        <v>4.02033265E9</v>
      </c>
      <c r="B113" s="10">
        <v>42493.0</v>
      </c>
      <c r="C113" s="4" t="str">
        <f t="shared" si="1"/>
        <v>402033265042493</v>
      </c>
      <c r="D113" s="4">
        <v>1.0</v>
      </c>
      <c r="E113" s="4">
        <v>322.0</v>
      </c>
      <c r="F113" s="11">
        <f t="shared" si="2"/>
        <v>0.2236111111</v>
      </c>
      <c r="G113" s="4">
        <v>332.0</v>
      </c>
      <c r="H113" s="11">
        <f t="shared" si="3"/>
        <v>0.2305555556</v>
      </c>
      <c r="I113" s="12">
        <f t="shared" si="4"/>
        <v>0.9698795181</v>
      </c>
      <c r="J113" s="13" t="str">
        <f t="shared" si="5"/>
        <v>LOW</v>
      </c>
    </row>
    <row r="114">
      <c r="A114" s="4">
        <v>4.02033265E9</v>
      </c>
      <c r="B114" s="10">
        <v>42494.0</v>
      </c>
      <c r="C114" s="4" t="str">
        <f t="shared" si="1"/>
        <v>402033265042494</v>
      </c>
      <c r="D114" s="4">
        <v>1.0</v>
      </c>
      <c r="E114" s="4">
        <v>478.0</v>
      </c>
      <c r="F114" s="11">
        <f t="shared" si="2"/>
        <v>0.3319444444</v>
      </c>
      <c r="G114" s="4">
        <v>536.0</v>
      </c>
      <c r="H114" s="11">
        <f t="shared" si="3"/>
        <v>0.3722222222</v>
      </c>
      <c r="I114" s="12">
        <f t="shared" si="4"/>
        <v>0.8917910448</v>
      </c>
      <c r="J114" s="13" t="str">
        <f t="shared" si="5"/>
        <v>OK</v>
      </c>
    </row>
    <row r="115">
      <c r="A115" s="4">
        <v>4.02033265E9</v>
      </c>
      <c r="B115" s="10">
        <v>42495.0</v>
      </c>
      <c r="C115" s="4" t="str">
        <f t="shared" si="1"/>
        <v>402033265042495</v>
      </c>
      <c r="D115" s="4">
        <v>1.0</v>
      </c>
      <c r="E115" s="4">
        <v>226.0</v>
      </c>
      <c r="F115" s="11">
        <f t="shared" si="2"/>
        <v>0.1569444444</v>
      </c>
      <c r="G115" s="4">
        <v>248.0</v>
      </c>
      <c r="H115" s="11">
        <f t="shared" si="3"/>
        <v>0.1722222222</v>
      </c>
      <c r="I115" s="12">
        <f t="shared" si="4"/>
        <v>0.9112903226</v>
      </c>
      <c r="J115" s="13" t="str">
        <f t="shared" si="5"/>
        <v>LOW</v>
      </c>
    </row>
    <row r="116">
      <c r="A116" s="4">
        <v>4.02033265E9</v>
      </c>
      <c r="B116" s="10">
        <v>42496.0</v>
      </c>
      <c r="C116" s="4" t="str">
        <f t="shared" si="1"/>
        <v>402033265042496</v>
      </c>
      <c r="D116" s="4">
        <v>1.0</v>
      </c>
      <c r="E116" s="4">
        <v>385.0</v>
      </c>
      <c r="F116" s="11">
        <f t="shared" si="2"/>
        <v>0.2673611111</v>
      </c>
      <c r="G116" s="4">
        <v>408.0</v>
      </c>
      <c r="H116" s="11">
        <f t="shared" si="3"/>
        <v>0.2833333333</v>
      </c>
      <c r="I116" s="12">
        <f t="shared" si="4"/>
        <v>0.943627451</v>
      </c>
      <c r="J116" s="13" t="str">
        <f t="shared" si="5"/>
        <v>OK</v>
      </c>
    </row>
    <row r="117">
      <c r="A117" s="4">
        <v>4.02033265E9</v>
      </c>
      <c r="B117" s="10">
        <v>42498.0</v>
      </c>
      <c r="C117" s="4" t="str">
        <f t="shared" si="1"/>
        <v>402033265042498</v>
      </c>
      <c r="D117" s="4">
        <v>1.0</v>
      </c>
      <c r="E117" s="4">
        <v>364.0</v>
      </c>
      <c r="F117" s="11">
        <f t="shared" si="2"/>
        <v>0.2527777778</v>
      </c>
      <c r="G117" s="4">
        <v>402.0</v>
      </c>
      <c r="H117" s="11">
        <f t="shared" si="3"/>
        <v>0.2791666667</v>
      </c>
      <c r="I117" s="12">
        <f t="shared" si="4"/>
        <v>0.9054726368</v>
      </c>
      <c r="J117" s="13" t="str">
        <f t="shared" si="5"/>
        <v>OK</v>
      </c>
    </row>
    <row r="118">
      <c r="A118" s="4">
        <v>4.02033265E9</v>
      </c>
      <c r="B118" s="10">
        <v>42500.0</v>
      </c>
      <c r="C118" s="4" t="str">
        <f t="shared" si="1"/>
        <v>402033265042500</v>
      </c>
      <c r="D118" s="4">
        <v>1.0</v>
      </c>
      <c r="E118" s="4">
        <v>442.0</v>
      </c>
      <c r="F118" s="11">
        <f t="shared" si="2"/>
        <v>0.3069444444</v>
      </c>
      <c r="G118" s="4">
        <v>494.0</v>
      </c>
      <c r="H118" s="11">
        <f t="shared" si="3"/>
        <v>0.3430555556</v>
      </c>
      <c r="I118" s="12">
        <f t="shared" si="4"/>
        <v>0.8947368421</v>
      </c>
      <c r="J118" s="13" t="str">
        <f t="shared" si="5"/>
        <v>OK</v>
      </c>
    </row>
    <row r="119">
      <c r="A119" s="4">
        <v>4.319703577E9</v>
      </c>
      <c r="B119" s="10">
        <v>42474.0</v>
      </c>
      <c r="C119" s="4" t="str">
        <f t="shared" si="1"/>
        <v>431970357742474</v>
      </c>
      <c r="D119" s="4">
        <v>1.0</v>
      </c>
      <c r="E119" s="4">
        <v>535.0</v>
      </c>
      <c r="F119" s="11">
        <f t="shared" si="2"/>
        <v>0.3715277778</v>
      </c>
      <c r="G119" s="4">
        <v>557.0</v>
      </c>
      <c r="H119" s="11">
        <f t="shared" si="3"/>
        <v>0.3868055556</v>
      </c>
      <c r="I119" s="12">
        <f t="shared" si="4"/>
        <v>0.960502693</v>
      </c>
      <c r="J119" s="13" t="str">
        <f t="shared" si="5"/>
        <v>HIGH</v>
      </c>
    </row>
    <row r="120">
      <c r="A120" s="4">
        <v>4.319703577E9</v>
      </c>
      <c r="B120" s="10">
        <v>42475.0</v>
      </c>
      <c r="C120" s="4" t="str">
        <f t="shared" si="1"/>
        <v>431970357742475</v>
      </c>
      <c r="D120" s="4">
        <v>1.0</v>
      </c>
      <c r="E120" s="4">
        <v>465.0</v>
      </c>
      <c r="F120" s="11">
        <f t="shared" si="2"/>
        <v>0.3229166667</v>
      </c>
      <c r="G120" s="4">
        <v>491.0</v>
      </c>
      <c r="H120" s="11">
        <f t="shared" si="3"/>
        <v>0.3409722222</v>
      </c>
      <c r="I120" s="12">
        <f t="shared" si="4"/>
        <v>0.9470468432</v>
      </c>
      <c r="J120" s="13" t="str">
        <f t="shared" si="5"/>
        <v>OK</v>
      </c>
    </row>
    <row r="121">
      <c r="A121" s="4">
        <v>4.319703577E9</v>
      </c>
      <c r="B121" s="10">
        <v>42476.0</v>
      </c>
      <c r="C121" s="4" t="str">
        <f t="shared" si="1"/>
        <v>431970357742476</v>
      </c>
      <c r="D121" s="4">
        <v>1.0</v>
      </c>
      <c r="E121" s="4">
        <v>506.0</v>
      </c>
      <c r="F121" s="11">
        <f t="shared" si="2"/>
        <v>0.3513888889</v>
      </c>
      <c r="G121" s="4">
        <v>522.0</v>
      </c>
      <c r="H121" s="11">
        <f t="shared" si="3"/>
        <v>0.3625</v>
      </c>
      <c r="I121" s="12">
        <f t="shared" si="4"/>
        <v>0.969348659</v>
      </c>
      <c r="J121" s="13" t="str">
        <f t="shared" si="5"/>
        <v>HIGH</v>
      </c>
    </row>
    <row r="122">
      <c r="A122" s="4">
        <v>4.319703577E9</v>
      </c>
      <c r="B122" s="10">
        <v>42478.0</v>
      </c>
      <c r="C122" s="4" t="str">
        <f t="shared" si="1"/>
        <v>431970357742478</v>
      </c>
      <c r="D122" s="4">
        <v>1.0</v>
      </c>
      <c r="E122" s="4">
        <v>515.0</v>
      </c>
      <c r="F122" s="11">
        <f t="shared" si="2"/>
        <v>0.3576388889</v>
      </c>
      <c r="G122" s="4">
        <v>551.0</v>
      </c>
      <c r="H122" s="11">
        <f t="shared" si="3"/>
        <v>0.3826388889</v>
      </c>
      <c r="I122" s="12">
        <f t="shared" si="4"/>
        <v>0.9346642468</v>
      </c>
      <c r="J122" s="13" t="str">
        <f t="shared" si="5"/>
        <v>HIGH</v>
      </c>
    </row>
    <row r="123">
      <c r="A123" s="4">
        <v>4.319703577E9</v>
      </c>
      <c r="B123" s="10">
        <v>42479.0</v>
      </c>
      <c r="C123" s="4" t="str">
        <f t="shared" si="1"/>
        <v>431970357742479</v>
      </c>
      <c r="D123" s="4">
        <v>2.0</v>
      </c>
      <c r="E123" s="4">
        <v>461.0</v>
      </c>
      <c r="F123" s="11">
        <f t="shared" si="2"/>
        <v>0.3201388889</v>
      </c>
      <c r="G123" s="4">
        <v>498.0</v>
      </c>
      <c r="H123" s="11">
        <f t="shared" si="3"/>
        <v>0.3458333333</v>
      </c>
      <c r="I123" s="12">
        <f t="shared" si="4"/>
        <v>0.9257028112</v>
      </c>
      <c r="J123" s="13" t="str">
        <f t="shared" si="5"/>
        <v>OK</v>
      </c>
    </row>
    <row r="124">
      <c r="A124" s="4">
        <v>4.319703577E9</v>
      </c>
      <c r="B124" s="10">
        <v>42480.0</v>
      </c>
      <c r="C124" s="4" t="str">
        <f t="shared" si="1"/>
        <v>431970357742480</v>
      </c>
      <c r="D124" s="4">
        <v>1.0</v>
      </c>
      <c r="E124" s="4">
        <v>523.0</v>
      </c>
      <c r="F124" s="11">
        <f t="shared" si="2"/>
        <v>0.3631944444</v>
      </c>
      <c r="G124" s="4">
        <v>543.0</v>
      </c>
      <c r="H124" s="11">
        <f t="shared" si="3"/>
        <v>0.3770833333</v>
      </c>
      <c r="I124" s="12">
        <f t="shared" si="4"/>
        <v>0.9631675875</v>
      </c>
      <c r="J124" s="13" t="str">
        <f t="shared" si="5"/>
        <v>HIGH</v>
      </c>
    </row>
    <row r="125">
      <c r="A125" s="4">
        <v>4.319703577E9</v>
      </c>
      <c r="B125" s="10">
        <v>42481.0</v>
      </c>
      <c r="C125" s="4" t="str">
        <f t="shared" si="1"/>
        <v>431970357742481</v>
      </c>
      <c r="D125" s="4">
        <v>1.0</v>
      </c>
      <c r="E125" s="4">
        <v>59.0</v>
      </c>
      <c r="F125" s="11">
        <f t="shared" si="2"/>
        <v>0.04097222222</v>
      </c>
      <c r="G125" s="4">
        <v>65.0</v>
      </c>
      <c r="H125" s="11">
        <f t="shared" si="3"/>
        <v>0.04513888889</v>
      </c>
      <c r="I125" s="12">
        <f t="shared" si="4"/>
        <v>0.9076923077</v>
      </c>
      <c r="J125" s="13" t="str">
        <f t="shared" si="5"/>
        <v>LOW</v>
      </c>
    </row>
    <row r="126">
      <c r="A126" s="4">
        <v>4.319703577E9</v>
      </c>
      <c r="B126" s="10">
        <v>42482.0</v>
      </c>
      <c r="C126" s="4" t="str">
        <f t="shared" si="1"/>
        <v>431970357742482</v>
      </c>
      <c r="D126" s="4">
        <v>1.0</v>
      </c>
      <c r="E126" s="4">
        <v>533.0</v>
      </c>
      <c r="F126" s="11">
        <f t="shared" si="2"/>
        <v>0.3701388889</v>
      </c>
      <c r="G126" s="4">
        <v>550.0</v>
      </c>
      <c r="H126" s="11">
        <f t="shared" si="3"/>
        <v>0.3819444444</v>
      </c>
      <c r="I126" s="12">
        <f t="shared" si="4"/>
        <v>0.9690909091</v>
      </c>
      <c r="J126" s="13" t="str">
        <f t="shared" si="5"/>
        <v>HIGH</v>
      </c>
    </row>
    <row r="127">
      <c r="A127" s="4">
        <v>4.319703577E9</v>
      </c>
      <c r="B127" s="10">
        <v>42483.0</v>
      </c>
      <c r="C127" s="4" t="str">
        <f t="shared" si="1"/>
        <v>431970357742483</v>
      </c>
      <c r="D127" s="4">
        <v>1.0</v>
      </c>
      <c r="E127" s="4">
        <v>692.0</v>
      </c>
      <c r="F127" s="11">
        <f t="shared" si="2"/>
        <v>0.4805555556</v>
      </c>
      <c r="G127" s="4">
        <v>722.0</v>
      </c>
      <c r="H127" s="11">
        <f t="shared" si="3"/>
        <v>0.5013888889</v>
      </c>
      <c r="I127" s="12">
        <f t="shared" si="4"/>
        <v>0.9584487535</v>
      </c>
      <c r="J127" s="13" t="str">
        <f t="shared" si="5"/>
        <v>HIGH</v>
      </c>
    </row>
    <row r="128">
      <c r="A128" s="4">
        <v>4.319703577E9</v>
      </c>
      <c r="B128" s="10">
        <v>42484.0</v>
      </c>
      <c r="C128" s="4" t="str">
        <f t="shared" si="1"/>
        <v>431970357742484</v>
      </c>
      <c r="D128" s="4">
        <v>1.0</v>
      </c>
      <c r="E128" s="4">
        <v>467.0</v>
      </c>
      <c r="F128" s="11">
        <f t="shared" si="2"/>
        <v>0.3243055556</v>
      </c>
      <c r="G128" s="4">
        <v>501.0</v>
      </c>
      <c r="H128" s="11">
        <f t="shared" si="3"/>
        <v>0.3479166667</v>
      </c>
      <c r="I128" s="12">
        <f t="shared" si="4"/>
        <v>0.9321357285</v>
      </c>
      <c r="J128" s="13" t="str">
        <f t="shared" si="5"/>
        <v>OK</v>
      </c>
    </row>
    <row r="129">
      <c r="A129" s="4">
        <v>4.319703577E9</v>
      </c>
      <c r="B129" s="10">
        <v>42485.0</v>
      </c>
      <c r="C129" s="4" t="str">
        <f t="shared" si="1"/>
        <v>431970357742485</v>
      </c>
      <c r="D129" s="4">
        <v>1.0</v>
      </c>
      <c r="E129" s="4">
        <v>488.0</v>
      </c>
      <c r="F129" s="11">
        <f t="shared" si="2"/>
        <v>0.3388888889</v>
      </c>
      <c r="G129" s="4">
        <v>506.0</v>
      </c>
      <c r="H129" s="11">
        <f t="shared" si="3"/>
        <v>0.3513888889</v>
      </c>
      <c r="I129" s="12">
        <f t="shared" si="4"/>
        <v>0.9644268775</v>
      </c>
      <c r="J129" s="13" t="str">
        <f t="shared" si="5"/>
        <v>HIGH</v>
      </c>
    </row>
    <row r="130">
      <c r="A130" s="4">
        <v>4.319703577E9</v>
      </c>
      <c r="B130" s="10">
        <v>42486.0</v>
      </c>
      <c r="C130" s="4" t="str">
        <f t="shared" si="1"/>
        <v>431970357742486</v>
      </c>
      <c r="D130" s="4">
        <v>1.0</v>
      </c>
      <c r="E130" s="4">
        <v>505.0</v>
      </c>
      <c r="F130" s="11">
        <f t="shared" si="2"/>
        <v>0.3506944444</v>
      </c>
      <c r="G130" s="4">
        <v>516.0</v>
      </c>
      <c r="H130" s="11">
        <f t="shared" si="3"/>
        <v>0.3583333333</v>
      </c>
      <c r="I130" s="12">
        <f t="shared" si="4"/>
        <v>0.9786821705</v>
      </c>
      <c r="J130" s="13" t="str">
        <f t="shared" si="5"/>
        <v>HIGH</v>
      </c>
    </row>
    <row r="131">
      <c r="A131" s="4">
        <v>4.319703577E9</v>
      </c>
      <c r="B131" s="10">
        <v>42487.0</v>
      </c>
      <c r="C131" s="4" t="str">
        <f t="shared" si="1"/>
        <v>431970357742487</v>
      </c>
      <c r="D131" s="4">
        <v>1.0</v>
      </c>
      <c r="E131" s="4">
        <v>286.0</v>
      </c>
      <c r="F131" s="11">
        <f t="shared" si="2"/>
        <v>0.1986111111</v>
      </c>
      <c r="G131" s="4">
        <v>307.0</v>
      </c>
      <c r="H131" s="11">
        <f t="shared" si="3"/>
        <v>0.2131944444</v>
      </c>
      <c r="I131" s="12">
        <f t="shared" si="4"/>
        <v>0.9315960912</v>
      </c>
      <c r="J131" s="13" t="str">
        <f t="shared" si="5"/>
        <v>LOW</v>
      </c>
    </row>
    <row r="132">
      <c r="A132" s="4">
        <v>4.319703577E9</v>
      </c>
      <c r="B132" s="10">
        <v>42488.0</v>
      </c>
      <c r="C132" s="4" t="str">
        <f t="shared" si="1"/>
        <v>431970357742488</v>
      </c>
      <c r="D132" s="4">
        <v>1.0</v>
      </c>
      <c r="E132" s="4">
        <v>497.0</v>
      </c>
      <c r="F132" s="11">
        <f t="shared" si="2"/>
        <v>0.3451388889</v>
      </c>
      <c r="G132" s="4">
        <v>522.0</v>
      </c>
      <c r="H132" s="11">
        <f t="shared" si="3"/>
        <v>0.3625</v>
      </c>
      <c r="I132" s="12">
        <f t="shared" si="4"/>
        <v>0.9521072797</v>
      </c>
      <c r="J132" s="13" t="str">
        <f t="shared" si="5"/>
        <v>HIGH</v>
      </c>
    </row>
    <row r="133">
      <c r="A133" s="4">
        <v>4.319703577E9</v>
      </c>
      <c r="B133" s="10">
        <v>42489.0</v>
      </c>
      <c r="C133" s="4" t="str">
        <f t="shared" si="1"/>
        <v>431970357742489</v>
      </c>
      <c r="D133" s="4">
        <v>1.0</v>
      </c>
      <c r="E133" s="4">
        <v>523.0</v>
      </c>
      <c r="F133" s="11">
        <f t="shared" si="2"/>
        <v>0.3631944444</v>
      </c>
      <c r="G133" s="4">
        <v>546.0</v>
      </c>
      <c r="H133" s="11">
        <f t="shared" si="3"/>
        <v>0.3791666667</v>
      </c>
      <c r="I133" s="12">
        <f t="shared" si="4"/>
        <v>0.9578754579</v>
      </c>
      <c r="J133" s="13" t="str">
        <f t="shared" si="5"/>
        <v>HIGH</v>
      </c>
    </row>
    <row r="134">
      <c r="A134" s="4">
        <v>4.319703577E9</v>
      </c>
      <c r="B134" s="10">
        <v>42490.0</v>
      </c>
      <c r="C134" s="4" t="str">
        <f t="shared" si="1"/>
        <v>431970357742490</v>
      </c>
      <c r="D134" s="4">
        <v>1.0</v>
      </c>
      <c r="E134" s="4">
        <v>490.0</v>
      </c>
      <c r="F134" s="11">
        <f t="shared" si="2"/>
        <v>0.3402777778</v>
      </c>
      <c r="G134" s="4">
        <v>516.0</v>
      </c>
      <c r="H134" s="11">
        <f t="shared" si="3"/>
        <v>0.3583333333</v>
      </c>
      <c r="I134" s="12">
        <f t="shared" si="4"/>
        <v>0.9496124031</v>
      </c>
      <c r="J134" s="13" t="str">
        <f t="shared" si="5"/>
        <v>HIGH</v>
      </c>
    </row>
    <row r="135">
      <c r="A135" s="4">
        <v>4.319703577E9</v>
      </c>
      <c r="B135" s="10">
        <v>42491.0</v>
      </c>
      <c r="C135" s="4" t="str">
        <f t="shared" si="1"/>
        <v>431970357742491</v>
      </c>
      <c r="D135" s="4">
        <v>1.0</v>
      </c>
      <c r="E135" s="4">
        <v>484.0</v>
      </c>
      <c r="F135" s="11">
        <f t="shared" si="2"/>
        <v>0.3361111111</v>
      </c>
      <c r="G135" s="4">
        <v>500.0</v>
      </c>
      <c r="H135" s="11">
        <f t="shared" si="3"/>
        <v>0.3472222222</v>
      </c>
      <c r="I135" s="12">
        <f t="shared" si="4"/>
        <v>0.968</v>
      </c>
      <c r="J135" s="13" t="str">
        <f t="shared" si="5"/>
        <v>HIGH</v>
      </c>
    </row>
    <row r="136">
      <c r="A136" s="4">
        <v>4.319703577E9</v>
      </c>
      <c r="B136" s="10">
        <v>42492.0</v>
      </c>
      <c r="C136" s="4" t="str">
        <f t="shared" si="1"/>
        <v>431970357742492</v>
      </c>
      <c r="D136" s="4">
        <v>1.0</v>
      </c>
      <c r="E136" s="4">
        <v>478.0</v>
      </c>
      <c r="F136" s="11">
        <f t="shared" si="2"/>
        <v>0.3319444444</v>
      </c>
      <c r="G136" s="4">
        <v>506.0</v>
      </c>
      <c r="H136" s="11">
        <f t="shared" si="3"/>
        <v>0.3513888889</v>
      </c>
      <c r="I136" s="12">
        <f t="shared" si="4"/>
        <v>0.9446640316</v>
      </c>
      <c r="J136" s="13" t="str">
        <f t="shared" si="5"/>
        <v>OK</v>
      </c>
    </row>
    <row r="137">
      <c r="A137" s="4">
        <v>4.319703577E9</v>
      </c>
      <c r="B137" s="10">
        <v>42493.0</v>
      </c>
      <c r="C137" s="4" t="str">
        <f t="shared" si="1"/>
        <v>431970357742493</v>
      </c>
      <c r="D137" s="4">
        <v>1.0</v>
      </c>
      <c r="E137" s="4">
        <v>474.0</v>
      </c>
      <c r="F137" s="11">
        <f t="shared" si="2"/>
        <v>0.3291666667</v>
      </c>
      <c r="G137" s="4">
        <v>512.0</v>
      </c>
      <c r="H137" s="11">
        <f t="shared" si="3"/>
        <v>0.3555555556</v>
      </c>
      <c r="I137" s="12">
        <f t="shared" si="4"/>
        <v>0.92578125</v>
      </c>
      <c r="J137" s="13" t="str">
        <f t="shared" si="5"/>
        <v>OK</v>
      </c>
    </row>
    <row r="138">
      <c r="A138" s="4">
        <v>4.319703577E9</v>
      </c>
      <c r="B138" s="10">
        <v>42496.0</v>
      </c>
      <c r="C138" s="4" t="str">
        <f t="shared" si="1"/>
        <v>431970357742496</v>
      </c>
      <c r="D138" s="4">
        <v>1.0</v>
      </c>
      <c r="E138" s="4">
        <v>450.0</v>
      </c>
      <c r="F138" s="11">
        <f t="shared" si="2"/>
        <v>0.3125</v>
      </c>
      <c r="G138" s="4">
        <v>491.0</v>
      </c>
      <c r="H138" s="11">
        <f t="shared" si="3"/>
        <v>0.3409722222</v>
      </c>
      <c r="I138" s="12">
        <f t="shared" si="4"/>
        <v>0.916496945</v>
      </c>
      <c r="J138" s="13" t="str">
        <f t="shared" si="5"/>
        <v>OK</v>
      </c>
    </row>
    <row r="139">
      <c r="A139" s="4">
        <v>4.319703577E9</v>
      </c>
      <c r="B139" s="10">
        <v>42497.0</v>
      </c>
      <c r="C139" s="4" t="str">
        <f t="shared" si="1"/>
        <v>431970357742497</v>
      </c>
      <c r="D139" s="4">
        <v>1.0</v>
      </c>
      <c r="E139" s="4">
        <v>507.0</v>
      </c>
      <c r="F139" s="11">
        <f t="shared" si="2"/>
        <v>0.3520833333</v>
      </c>
      <c r="G139" s="4">
        <v>530.0</v>
      </c>
      <c r="H139" s="11">
        <f t="shared" si="3"/>
        <v>0.3680555556</v>
      </c>
      <c r="I139" s="12">
        <f t="shared" si="4"/>
        <v>0.9566037736</v>
      </c>
      <c r="J139" s="13" t="str">
        <f t="shared" si="5"/>
        <v>HIGH</v>
      </c>
    </row>
    <row r="140">
      <c r="A140" s="4">
        <v>4.319703577E9</v>
      </c>
      <c r="B140" s="10">
        <v>42498.0</v>
      </c>
      <c r="C140" s="4" t="str">
        <f t="shared" si="1"/>
        <v>431970357742498</v>
      </c>
      <c r="D140" s="4">
        <v>1.0</v>
      </c>
      <c r="E140" s="4">
        <v>602.0</v>
      </c>
      <c r="F140" s="11">
        <f t="shared" si="2"/>
        <v>0.4180555556</v>
      </c>
      <c r="G140" s="4">
        <v>638.0</v>
      </c>
      <c r="H140" s="11">
        <f t="shared" si="3"/>
        <v>0.4430555556</v>
      </c>
      <c r="I140" s="12">
        <f t="shared" si="4"/>
        <v>0.9435736677</v>
      </c>
      <c r="J140" s="13" t="str">
        <f t="shared" si="5"/>
        <v>HIGH</v>
      </c>
    </row>
    <row r="141">
      <c r="A141" s="4">
        <v>4.319703577E9</v>
      </c>
      <c r="B141" s="10">
        <v>42499.0</v>
      </c>
      <c r="C141" s="4" t="str">
        <f t="shared" si="1"/>
        <v>431970357742499</v>
      </c>
      <c r="D141" s="4">
        <v>1.0</v>
      </c>
      <c r="E141" s="4">
        <v>535.0</v>
      </c>
      <c r="F141" s="11">
        <f t="shared" si="2"/>
        <v>0.3715277778</v>
      </c>
      <c r="G141" s="4">
        <v>565.0</v>
      </c>
      <c r="H141" s="11">
        <f t="shared" si="3"/>
        <v>0.3923611111</v>
      </c>
      <c r="I141" s="12">
        <f t="shared" si="4"/>
        <v>0.9469026549</v>
      </c>
      <c r="J141" s="13" t="str">
        <f t="shared" si="5"/>
        <v>HIGH</v>
      </c>
    </row>
    <row r="142">
      <c r="A142" s="4">
        <v>4.319703577E9</v>
      </c>
      <c r="B142" s="10">
        <v>42500.0</v>
      </c>
      <c r="C142" s="4" t="str">
        <f t="shared" si="1"/>
        <v>431970357742500</v>
      </c>
      <c r="D142" s="4">
        <v>1.0</v>
      </c>
      <c r="E142" s="4">
        <v>487.0</v>
      </c>
      <c r="F142" s="11">
        <f t="shared" si="2"/>
        <v>0.3381944444</v>
      </c>
      <c r="G142" s="4">
        <v>517.0</v>
      </c>
      <c r="H142" s="11">
        <f t="shared" si="3"/>
        <v>0.3590277778</v>
      </c>
      <c r="I142" s="12">
        <f t="shared" si="4"/>
        <v>0.9419729207</v>
      </c>
      <c r="J142" s="13" t="str">
        <f t="shared" si="5"/>
        <v>HIGH</v>
      </c>
    </row>
    <row r="143">
      <c r="A143" s="4">
        <v>4.319703577E9</v>
      </c>
      <c r="B143" s="10">
        <v>42501.0</v>
      </c>
      <c r="C143" s="4" t="str">
        <f t="shared" si="1"/>
        <v>431970357742501</v>
      </c>
      <c r="D143" s="4">
        <v>1.0</v>
      </c>
      <c r="E143" s="4">
        <v>529.0</v>
      </c>
      <c r="F143" s="11">
        <f t="shared" si="2"/>
        <v>0.3673611111</v>
      </c>
      <c r="G143" s="4">
        <v>558.0</v>
      </c>
      <c r="H143" s="11">
        <f t="shared" si="3"/>
        <v>0.3875</v>
      </c>
      <c r="I143" s="12">
        <f t="shared" si="4"/>
        <v>0.9480286738</v>
      </c>
      <c r="J143" s="13" t="str">
        <f t="shared" si="5"/>
        <v>HIGH</v>
      </c>
    </row>
    <row r="144">
      <c r="A144" s="4">
        <v>4.319703577E9</v>
      </c>
      <c r="B144" s="10">
        <v>42502.0</v>
      </c>
      <c r="C144" s="4" t="str">
        <f t="shared" si="1"/>
        <v>431970357742502</v>
      </c>
      <c r="D144" s="4">
        <v>1.0</v>
      </c>
      <c r="E144" s="4">
        <v>302.0</v>
      </c>
      <c r="F144" s="11">
        <f t="shared" si="2"/>
        <v>0.2097222222</v>
      </c>
      <c r="G144" s="4">
        <v>321.0</v>
      </c>
      <c r="H144" s="11">
        <f t="shared" si="3"/>
        <v>0.2229166667</v>
      </c>
      <c r="I144" s="12">
        <f t="shared" si="4"/>
        <v>0.9408099688</v>
      </c>
      <c r="J144" s="13" t="str">
        <f t="shared" si="5"/>
        <v>LOW</v>
      </c>
    </row>
    <row r="145">
      <c r="A145" s="4">
        <v>4.388161847E9</v>
      </c>
      <c r="B145" s="10">
        <v>42475.0</v>
      </c>
      <c r="C145" s="4" t="str">
        <f t="shared" si="1"/>
        <v>438816184742475</v>
      </c>
      <c r="D145" s="4">
        <v>1.0</v>
      </c>
      <c r="E145" s="4">
        <v>499.0</v>
      </c>
      <c r="F145" s="11">
        <f t="shared" si="2"/>
        <v>0.3465277778</v>
      </c>
      <c r="G145" s="4">
        <v>526.0</v>
      </c>
      <c r="H145" s="11">
        <f t="shared" si="3"/>
        <v>0.3652777778</v>
      </c>
      <c r="I145" s="12">
        <f t="shared" si="4"/>
        <v>0.9486692015</v>
      </c>
      <c r="J145" s="13" t="str">
        <f t="shared" si="5"/>
        <v>HIGH</v>
      </c>
    </row>
    <row r="146">
      <c r="A146" s="4">
        <v>4.388161847E9</v>
      </c>
      <c r="B146" s="10">
        <v>42476.0</v>
      </c>
      <c r="C146" s="4" t="str">
        <f t="shared" si="1"/>
        <v>438816184742476</v>
      </c>
      <c r="D146" s="4">
        <v>2.0</v>
      </c>
      <c r="E146" s="4">
        <v>426.0</v>
      </c>
      <c r="F146" s="11">
        <f t="shared" si="2"/>
        <v>0.2958333333</v>
      </c>
      <c r="G146" s="4">
        <v>448.0</v>
      </c>
      <c r="H146" s="11">
        <f t="shared" si="3"/>
        <v>0.3111111111</v>
      </c>
      <c r="I146" s="12">
        <f t="shared" si="4"/>
        <v>0.9508928571</v>
      </c>
      <c r="J146" s="13" t="str">
        <f t="shared" si="5"/>
        <v>OK</v>
      </c>
    </row>
    <row r="147">
      <c r="A147" s="4">
        <v>4.388161847E9</v>
      </c>
      <c r="B147" s="10">
        <v>42477.0</v>
      </c>
      <c r="C147" s="4" t="str">
        <f t="shared" si="1"/>
        <v>438816184742477</v>
      </c>
      <c r="D147" s="4">
        <v>2.0</v>
      </c>
      <c r="E147" s="4">
        <v>619.0</v>
      </c>
      <c r="F147" s="11">
        <f t="shared" si="2"/>
        <v>0.4298611111</v>
      </c>
      <c r="G147" s="4">
        <v>641.0</v>
      </c>
      <c r="H147" s="11">
        <f t="shared" si="3"/>
        <v>0.4451388889</v>
      </c>
      <c r="I147" s="12">
        <f t="shared" si="4"/>
        <v>0.9656786271</v>
      </c>
      <c r="J147" s="13" t="str">
        <f t="shared" si="5"/>
        <v>HIGH</v>
      </c>
    </row>
    <row r="148">
      <c r="A148" s="4">
        <v>4.388161847E9</v>
      </c>
      <c r="B148" s="10">
        <v>42478.0</v>
      </c>
      <c r="C148" s="4" t="str">
        <f t="shared" si="1"/>
        <v>438816184742478</v>
      </c>
      <c r="D148" s="4">
        <v>1.0</v>
      </c>
      <c r="E148" s="4">
        <v>99.0</v>
      </c>
      <c r="F148" s="11">
        <f t="shared" si="2"/>
        <v>0.06875</v>
      </c>
      <c r="G148" s="4">
        <v>104.0</v>
      </c>
      <c r="H148" s="11">
        <f t="shared" si="3"/>
        <v>0.07222222222</v>
      </c>
      <c r="I148" s="12">
        <f t="shared" si="4"/>
        <v>0.9519230769</v>
      </c>
      <c r="J148" s="13" t="str">
        <f t="shared" si="5"/>
        <v>LOW</v>
      </c>
    </row>
    <row r="149">
      <c r="A149" s="4">
        <v>4.388161847E9</v>
      </c>
      <c r="B149" s="10">
        <v>42479.0</v>
      </c>
      <c r="C149" s="4" t="str">
        <f t="shared" si="1"/>
        <v>438816184742479</v>
      </c>
      <c r="D149" s="4">
        <v>1.0</v>
      </c>
      <c r="E149" s="4">
        <v>329.0</v>
      </c>
      <c r="F149" s="11">
        <f t="shared" si="2"/>
        <v>0.2284722222</v>
      </c>
      <c r="G149" s="4">
        <v>338.0</v>
      </c>
      <c r="H149" s="11">
        <f t="shared" si="3"/>
        <v>0.2347222222</v>
      </c>
      <c r="I149" s="12">
        <f t="shared" si="4"/>
        <v>0.9733727811</v>
      </c>
      <c r="J149" s="13" t="str">
        <f t="shared" si="5"/>
        <v>LOW</v>
      </c>
    </row>
    <row r="150">
      <c r="A150" s="4">
        <v>4.388161847E9</v>
      </c>
      <c r="B150" s="10">
        <v>42480.0</v>
      </c>
      <c r="C150" s="4" t="str">
        <f t="shared" si="1"/>
        <v>438816184742480</v>
      </c>
      <c r="D150" s="4">
        <v>1.0</v>
      </c>
      <c r="E150" s="4">
        <v>421.0</v>
      </c>
      <c r="F150" s="11">
        <f t="shared" si="2"/>
        <v>0.2923611111</v>
      </c>
      <c r="G150" s="4">
        <v>451.0</v>
      </c>
      <c r="H150" s="11">
        <f t="shared" si="3"/>
        <v>0.3131944444</v>
      </c>
      <c r="I150" s="12">
        <f t="shared" si="4"/>
        <v>0.933481153</v>
      </c>
      <c r="J150" s="13" t="str">
        <f t="shared" si="5"/>
        <v>OK</v>
      </c>
    </row>
    <row r="151">
      <c r="A151" s="4">
        <v>4.388161847E9</v>
      </c>
      <c r="B151" s="10">
        <v>42481.0</v>
      </c>
      <c r="C151" s="4" t="str">
        <f t="shared" si="1"/>
        <v>438816184742481</v>
      </c>
      <c r="D151" s="4">
        <v>1.0</v>
      </c>
      <c r="E151" s="4">
        <v>442.0</v>
      </c>
      <c r="F151" s="11">
        <f t="shared" si="2"/>
        <v>0.3069444444</v>
      </c>
      <c r="G151" s="4">
        <v>458.0</v>
      </c>
      <c r="H151" s="11">
        <f t="shared" si="3"/>
        <v>0.3180555556</v>
      </c>
      <c r="I151" s="12">
        <f t="shared" si="4"/>
        <v>0.9650655022</v>
      </c>
      <c r="J151" s="13" t="str">
        <f t="shared" si="5"/>
        <v>OK</v>
      </c>
    </row>
    <row r="152">
      <c r="A152" s="4">
        <v>4.388161847E9</v>
      </c>
      <c r="B152" s="10">
        <v>42482.0</v>
      </c>
      <c r="C152" s="4" t="str">
        <f t="shared" si="1"/>
        <v>438816184742482</v>
      </c>
      <c r="D152" s="4">
        <v>1.0</v>
      </c>
      <c r="E152" s="4">
        <v>82.0</v>
      </c>
      <c r="F152" s="11">
        <f t="shared" si="2"/>
        <v>0.05694444444</v>
      </c>
      <c r="G152" s="4">
        <v>85.0</v>
      </c>
      <c r="H152" s="11">
        <f t="shared" si="3"/>
        <v>0.05902777778</v>
      </c>
      <c r="I152" s="12">
        <f t="shared" si="4"/>
        <v>0.9647058824</v>
      </c>
      <c r="J152" s="13" t="str">
        <f t="shared" si="5"/>
        <v>LOW</v>
      </c>
    </row>
    <row r="153">
      <c r="A153" s="4">
        <v>4.388161847E9</v>
      </c>
      <c r="B153" s="10">
        <v>42483.0</v>
      </c>
      <c r="C153" s="4" t="str">
        <f t="shared" si="1"/>
        <v>438816184742483</v>
      </c>
      <c r="D153" s="4">
        <v>1.0</v>
      </c>
      <c r="E153" s="4">
        <v>478.0</v>
      </c>
      <c r="F153" s="11">
        <f t="shared" si="2"/>
        <v>0.3319444444</v>
      </c>
      <c r="G153" s="4">
        <v>501.0</v>
      </c>
      <c r="H153" s="11">
        <f t="shared" si="3"/>
        <v>0.3479166667</v>
      </c>
      <c r="I153" s="12">
        <f t="shared" si="4"/>
        <v>0.9540918164</v>
      </c>
      <c r="J153" s="13" t="str">
        <f t="shared" si="5"/>
        <v>OK</v>
      </c>
    </row>
    <row r="154">
      <c r="A154" s="4">
        <v>4.388161847E9</v>
      </c>
      <c r="B154" s="10">
        <v>42484.0</v>
      </c>
      <c r="C154" s="4" t="str">
        <f t="shared" si="1"/>
        <v>438816184742484</v>
      </c>
      <c r="D154" s="4">
        <v>3.0</v>
      </c>
      <c r="E154" s="4">
        <v>552.0</v>
      </c>
      <c r="F154" s="11">
        <f t="shared" si="2"/>
        <v>0.3833333333</v>
      </c>
      <c r="G154" s="4">
        <v>595.0</v>
      </c>
      <c r="H154" s="11">
        <f t="shared" si="3"/>
        <v>0.4131944444</v>
      </c>
      <c r="I154" s="12">
        <f t="shared" si="4"/>
        <v>0.9277310924</v>
      </c>
      <c r="J154" s="13" t="str">
        <f t="shared" si="5"/>
        <v>HIGH</v>
      </c>
    </row>
    <row r="155">
      <c r="A155" s="4">
        <v>4.388161847E9</v>
      </c>
      <c r="B155" s="10">
        <v>42486.0</v>
      </c>
      <c r="C155" s="4" t="str">
        <f t="shared" si="1"/>
        <v>438816184742486</v>
      </c>
      <c r="D155" s="4">
        <v>1.0</v>
      </c>
      <c r="E155" s="4">
        <v>319.0</v>
      </c>
      <c r="F155" s="11">
        <f t="shared" si="2"/>
        <v>0.2215277778</v>
      </c>
      <c r="G155" s="4">
        <v>346.0</v>
      </c>
      <c r="H155" s="11">
        <f t="shared" si="3"/>
        <v>0.2402777778</v>
      </c>
      <c r="I155" s="12">
        <f t="shared" si="4"/>
        <v>0.9219653179</v>
      </c>
      <c r="J155" s="13" t="str">
        <f t="shared" si="5"/>
        <v>LOW</v>
      </c>
    </row>
    <row r="156">
      <c r="A156" s="4">
        <v>4.388161847E9</v>
      </c>
      <c r="B156" s="10">
        <v>42487.0</v>
      </c>
      <c r="C156" s="4" t="str">
        <f t="shared" si="1"/>
        <v>438816184742487</v>
      </c>
      <c r="D156" s="4">
        <v>1.0</v>
      </c>
      <c r="E156" s="4">
        <v>439.0</v>
      </c>
      <c r="F156" s="11">
        <f t="shared" si="2"/>
        <v>0.3048611111</v>
      </c>
      <c r="G156" s="4">
        <v>500.0</v>
      </c>
      <c r="H156" s="11">
        <f t="shared" si="3"/>
        <v>0.3472222222</v>
      </c>
      <c r="I156" s="12">
        <f t="shared" si="4"/>
        <v>0.878</v>
      </c>
      <c r="J156" s="13" t="str">
        <f t="shared" si="5"/>
        <v>OK</v>
      </c>
    </row>
    <row r="157">
      <c r="A157" s="4">
        <v>4.388161847E9</v>
      </c>
      <c r="B157" s="10">
        <v>42488.0</v>
      </c>
      <c r="C157" s="4" t="str">
        <f t="shared" si="1"/>
        <v>438816184742488</v>
      </c>
      <c r="D157" s="4">
        <v>1.0</v>
      </c>
      <c r="E157" s="4">
        <v>428.0</v>
      </c>
      <c r="F157" s="11">
        <f t="shared" si="2"/>
        <v>0.2972222222</v>
      </c>
      <c r="G157" s="4">
        <v>458.0</v>
      </c>
      <c r="H157" s="11">
        <f t="shared" si="3"/>
        <v>0.3180555556</v>
      </c>
      <c r="I157" s="12">
        <f t="shared" si="4"/>
        <v>0.9344978166</v>
      </c>
      <c r="J157" s="13" t="str">
        <f t="shared" si="5"/>
        <v>OK</v>
      </c>
    </row>
    <row r="158">
      <c r="A158" s="4">
        <v>4.388161847E9</v>
      </c>
      <c r="B158" s="10">
        <v>42490.0</v>
      </c>
      <c r="C158" s="4" t="str">
        <f t="shared" si="1"/>
        <v>438816184742490</v>
      </c>
      <c r="D158" s="4">
        <v>2.0</v>
      </c>
      <c r="E158" s="4">
        <v>409.0</v>
      </c>
      <c r="F158" s="11">
        <f t="shared" si="2"/>
        <v>0.2840277778</v>
      </c>
      <c r="G158" s="4">
        <v>430.0</v>
      </c>
      <c r="H158" s="11">
        <f t="shared" si="3"/>
        <v>0.2986111111</v>
      </c>
      <c r="I158" s="12">
        <f t="shared" si="4"/>
        <v>0.9511627907</v>
      </c>
      <c r="J158" s="13" t="str">
        <f t="shared" si="5"/>
        <v>OK</v>
      </c>
    </row>
    <row r="159">
      <c r="A159" s="4">
        <v>4.388161847E9</v>
      </c>
      <c r="B159" s="10">
        <v>42491.0</v>
      </c>
      <c r="C159" s="4" t="str">
        <f t="shared" si="1"/>
        <v>438816184742491</v>
      </c>
      <c r="D159" s="4">
        <v>1.0</v>
      </c>
      <c r="E159" s="4">
        <v>547.0</v>
      </c>
      <c r="F159" s="11">
        <f t="shared" si="2"/>
        <v>0.3798611111</v>
      </c>
      <c r="G159" s="4">
        <v>597.0</v>
      </c>
      <c r="H159" s="11">
        <f t="shared" si="3"/>
        <v>0.4145833333</v>
      </c>
      <c r="I159" s="12">
        <f t="shared" si="4"/>
        <v>0.9162479062</v>
      </c>
      <c r="J159" s="13" t="str">
        <f t="shared" si="5"/>
        <v>HIGH</v>
      </c>
    </row>
    <row r="160">
      <c r="A160" s="4">
        <v>4.388161847E9</v>
      </c>
      <c r="B160" s="10">
        <v>42492.0</v>
      </c>
      <c r="C160" s="4" t="str">
        <f t="shared" si="1"/>
        <v>438816184742492</v>
      </c>
      <c r="D160" s="4">
        <v>2.0</v>
      </c>
      <c r="E160" s="4">
        <v>368.0</v>
      </c>
      <c r="F160" s="11">
        <f t="shared" si="2"/>
        <v>0.2555555556</v>
      </c>
      <c r="G160" s="4">
        <v>376.0</v>
      </c>
      <c r="H160" s="11">
        <f t="shared" si="3"/>
        <v>0.2611111111</v>
      </c>
      <c r="I160" s="12">
        <f t="shared" si="4"/>
        <v>0.9787234043</v>
      </c>
      <c r="J160" s="13" t="str">
        <f t="shared" si="5"/>
        <v>OK</v>
      </c>
    </row>
    <row r="161">
      <c r="A161" s="4">
        <v>4.388161847E9</v>
      </c>
      <c r="B161" s="10">
        <v>42494.0</v>
      </c>
      <c r="C161" s="4" t="str">
        <f t="shared" si="1"/>
        <v>438816184742494</v>
      </c>
      <c r="D161" s="4">
        <v>1.0</v>
      </c>
      <c r="E161" s="4">
        <v>390.0</v>
      </c>
      <c r="F161" s="11">
        <f t="shared" si="2"/>
        <v>0.2708333333</v>
      </c>
      <c r="G161" s="4">
        <v>414.0</v>
      </c>
      <c r="H161" s="11">
        <f t="shared" si="3"/>
        <v>0.2875</v>
      </c>
      <c r="I161" s="12">
        <f t="shared" si="4"/>
        <v>0.9420289855</v>
      </c>
      <c r="J161" s="13" t="str">
        <f t="shared" si="5"/>
        <v>OK</v>
      </c>
    </row>
    <row r="162">
      <c r="A162" s="4">
        <v>4.388161847E9</v>
      </c>
      <c r="B162" s="10">
        <v>42495.0</v>
      </c>
      <c r="C162" s="4" t="str">
        <f t="shared" si="1"/>
        <v>438816184742495</v>
      </c>
      <c r="D162" s="4">
        <v>1.0</v>
      </c>
      <c r="E162" s="4">
        <v>471.0</v>
      </c>
      <c r="F162" s="11">
        <f t="shared" si="2"/>
        <v>0.3270833333</v>
      </c>
      <c r="G162" s="4">
        <v>495.0</v>
      </c>
      <c r="H162" s="11">
        <f t="shared" si="3"/>
        <v>0.34375</v>
      </c>
      <c r="I162" s="12">
        <f t="shared" si="4"/>
        <v>0.9515151515</v>
      </c>
      <c r="J162" s="13" t="str">
        <f t="shared" si="5"/>
        <v>OK</v>
      </c>
    </row>
    <row r="163">
      <c r="A163" s="4">
        <v>4.388161847E9</v>
      </c>
      <c r="B163" s="10">
        <v>42495.0</v>
      </c>
      <c r="C163" s="4" t="str">
        <f t="shared" si="1"/>
        <v>438816184742495</v>
      </c>
      <c r="D163" s="4">
        <v>1.0</v>
      </c>
      <c r="E163" s="4">
        <v>471.0</v>
      </c>
      <c r="F163" s="11">
        <f t="shared" si="2"/>
        <v>0.3270833333</v>
      </c>
      <c r="G163" s="4">
        <v>495.0</v>
      </c>
      <c r="H163" s="11">
        <f t="shared" si="3"/>
        <v>0.34375</v>
      </c>
      <c r="I163" s="12">
        <f t="shared" si="4"/>
        <v>0.9515151515</v>
      </c>
      <c r="J163" s="13" t="str">
        <f t="shared" si="5"/>
        <v>OK</v>
      </c>
    </row>
    <row r="164">
      <c r="A164" s="4">
        <v>4.388161847E9</v>
      </c>
      <c r="B164" s="10">
        <v>42497.0</v>
      </c>
      <c r="C164" s="4" t="str">
        <f t="shared" si="1"/>
        <v>438816184742497</v>
      </c>
      <c r="D164" s="4">
        <v>1.0</v>
      </c>
      <c r="E164" s="4">
        <v>472.0</v>
      </c>
      <c r="F164" s="11">
        <f t="shared" si="2"/>
        <v>0.3277777778</v>
      </c>
      <c r="G164" s="4">
        <v>496.0</v>
      </c>
      <c r="H164" s="11">
        <f t="shared" si="3"/>
        <v>0.3444444444</v>
      </c>
      <c r="I164" s="12">
        <f t="shared" si="4"/>
        <v>0.9516129032</v>
      </c>
      <c r="J164" s="13" t="str">
        <f t="shared" si="5"/>
        <v>OK</v>
      </c>
    </row>
    <row r="165">
      <c r="A165" s="4">
        <v>4.388161847E9</v>
      </c>
      <c r="B165" s="10">
        <v>42498.0</v>
      </c>
      <c r="C165" s="4" t="str">
        <f t="shared" si="1"/>
        <v>438816184742498</v>
      </c>
      <c r="D165" s="4">
        <v>2.0</v>
      </c>
      <c r="E165" s="4">
        <v>529.0</v>
      </c>
      <c r="F165" s="11">
        <f t="shared" si="2"/>
        <v>0.3673611111</v>
      </c>
      <c r="G165" s="4">
        <v>541.0</v>
      </c>
      <c r="H165" s="11">
        <f t="shared" si="3"/>
        <v>0.3756944444</v>
      </c>
      <c r="I165" s="12">
        <f t="shared" si="4"/>
        <v>0.977818854</v>
      </c>
      <c r="J165" s="13" t="str">
        <f t="shared" si="5"/>
        <v>HIGH</v>
      </c>
    </row>
    <row r="166">
      <c r="A166" s="4">
        <v>4.388161847E9</v>
      </c>
      <c r="B166" s="10">
        <v>42499.0</v>
      </c>
      <c r="C166" s="4" t="str">
        <f t="shared" si="1"/>
        <v>438816184742499</v>
      </c>
      <c r="D166" s="4">
        <v>1.0</v>
      </c>
      <c r="E166" s="4">
        <v>62.0</v>
      </c>
      <c r="F166" s="11">
        <f t="shared" si="2"/>
        <v>0.04305555556</v>
      </c>
      <c r="G166" s="4">
        <v>65.0</v>
      </c>
      <c r="H166" s="11">
        <f t="shared" si="3"/>
        <v>0.04513888889</v>
      </c>
      <c r="I166" s="12">
        <f t="shared" si="4"/>
        <v>0.9538461538</v>
      </c>
      <c r="J166" s="13" t="str">
        <f t="shared" si="5"/>
        <v>LOW</v>
      </c>
    </row>
    <row r="167">
      <c r="A167" s="4">
        <v>4.388161847E9</v>
      </c>
      <c r="B167" s="10">
        <v>42500.0</v>
      </c>
      <c r="C167" s="4" t="str">
        <f t="shared" si="1"/>
        <v>438816184742500</v>
      </c>
      <c r="D167" s="4">
        <v>1.0</v>
      </c>
      <c r="E167" s="4">
        <v>354.0</v>
      </c>
      <c r="F167" s="11">
        <f t="shared" si="2"/>
        <v>0.2458333333</v>
      </c>
      <c r="G167" s="4">
        <v>375.0</v>
      </c>
      <c r="H167" s="11">
        <f t="shared" si="3"/>
        <v>0.2604166667</v>
      </c>
      <c r="I167" s="12">
        <f t="shared" si="4"/>
        <v>0.944</v>
      </c>
      <c r="J167" s="13" t="str">
        <f t="shared" si="5"/>
        <v>LOW</v>
      </c>
    </row>
    <row r="168">
      <c r="A168" s="4">
        <v>4.388161847E9</v>
      </c>
      <c r="B168" s="10">
        <v>42501.0</v>
      </c>
      <c r="C168" s="4" t="str">
        <f t="shared" si="1"/>
        <v>438816184742501</v>
      </c>
      <c r="D168" s="4">
        <v>1.0</v>
      </c>
      <c r="E168" s="4">
        <v>469.0</v>
      </c>
      <c r="F168" s="11">
        <f t="shared" si="2"/>
        <v>0.3256944444</v>
      </c>
      <c r="G168" s="4">
        <v>494.0</v>
      </c>
      <c r="H168" s="11">
        <f t="shared" si="3"/>
        <v>0.3430555556</v>
      </c>
      <c r="I168" s="12">
        <f t="shared" si="4"/>
        <v>0.9493927126</v>
      </c>
      <c r="J168" s="13" t="str">
        <f t="shared" si="5"/>
        <v>OK</v>
      </c>
    </row>
    <row r="169">
      <c r="A169" s="4">
        <v>4.445114986E9</v>
      </c>
      <c r="B169" s="10">
        <v>42472.0</v>
      </c>
      <c r="C169" s="4" t="str">
        <f t="shared" si="1"/>
        <v>444511498642472</v>
      </c>
      <c r="D169" s="4">
        <v>2.0</v>
      </c>
      <c r="E169" s="4">
        <v>429.0</v>
      </c>
      <c r="F169" s="11">
        <f t="shared" si="2"/>
        <v>0.2979166667</v>
      </c>
      <c r="G169" s="4">
        <v>457.0</v>
      </c>
      <c r="H169" s="11">
        <f t="shared" si="3"/>
        <v>0.3173611111</v>
      </c>
      <c r="I169" s="12">
        <f t="shared" si="4"/>
        <v>0.9387308534</v>
      </c>
      <c r="J169" s="13" t="str">
        <f t="shared" si="5"/>
        <v>OK</v>
      </c>
    </row>
    <row r="170">
      <c r="A170" s="4">
        <v>4.445114986E9</v>
      </c>
      <c r="B170" s="10">
        <v>42473.0</v>
      </c>
      <c r="C170" s="4" t="str">
        <f t="shared" si="1"/>
        <v>444511498642473</v>
      </c>
      <c r="D170" s="4">
        <v>2.0</v>
      </c>
      <c r="E170" s="4">
        <v>370.0</v>
      </c>
      <c r="F170" s="11">
        <f t="shared" si="2"/>
        <v>0.2569444444</v>
      </c>
      <c r="G170" s="4">
        <v>406.0</v>
      </c>
      <c r="H170" s="11">
        <f t="shared" si="3"/>
        <v>0.2819444444</v>
      </c>
      <c r="I170" s="12">
        <f t="shared" si="4"/>
        <v>0.9113300493</v>
      </c>
      <c r="J170" s="13" t="str">
        <f t="shared" si="5"/>
        <v>OK</v>
      </c>
    </row>
    <row r="171">
      <c r="A171" s="4">
        <v>4.445114986E9</v>
      </c>
      <c r="B171" s="10">
        <v>42474.0</v>
      </c>
      <c r="C171" s="4" t="str">
        <f t="shared" si="1"/>
        <v>444511498642474</v>
      </c>
      <c r="D171" s="4">
        <v>1.0</v>
      </c>
      <c r="E171" s="4">
        <v>441.0</v>
      </c>
      <c r="F171" s="11">
        <f t="shared" si="2"/>
        <v>0.30625</v>
      </c>
      <c r="G171" s="4">
        <v>492.0</v>
      </c>
      <c r="H171" s="11">
        <f t="shared" si="3"/>
        <v>0.3416666667</v>
      </c>
      <c r="I171" s="12">
        <f t="shared" si="4"/>
        <v>0.8963414634</v>
      </c>
      <c r="J171" s="13" t="str">
        <f t="shared" si="5"/>
        <v>OK</v>
      </c>
    </row>
    <row r="172">
      <c r="A172" s="4">
        <v>4.445114986E9</v>
      </c>
      <c r="B172" s="10">
        <v>42475.0</v>
      </c>
      <c r="C172" s="4" t="str">
        <f t="shared" si="1"/>
        <v>444511498642475</v>
      </c>
      <c r="D172" s="4">
        <v>2.0</v>
      </c>
      <c r="E172" s="4">
        <v>337.0</v>
      </c>
      <c r="F172" s="11">
        <f t="shared" si="2"/>
        <v>0.2340277778</v>
      </c>
      <c r="G172" s="4">
        <v>379.0</v>
      </c>
      <c r="H172" s="11">
        <f t="shared" si="3"/>
        <v>0.2631944444</v>
      </c>
      <c r="I172" s="12">
        <f t="shared" si="4"/>
        <v>0.889182058</v>
      </c>
      <c r="J172" s="13" t="str">
        <f t="shared" si="5"/>
        <v>LOW</v>
      </c>
    </row>
    <row r="173">
      <c r="A173" s="4">
        <v>4.445114986E9</v>
      </c>
      <c r="B173" s="10">
        <v>42476.0</v>
      </c>
      <c r="C173" s="4" t="str">
        <f t="shared" si="1"/>
        <v>444511498642476</v>
      </c>
      <c r="D173" s="4">
        <v>1.0</v>
      </c>
      <c r="E173" s="4">
        <v>462.0</v>
      </c>
      <c r="F173" s="11">
        <f t="shared" si="2"/>
        <v>0.3208333333</v>
      </c>
      <c r="G173" s="4">
        <v>499.0</v>
      </c>
      <c r="H173" s="11">
        <f t="shared" si="3"/>
        <v>0.3465277778</v>
      </c>
      <c r="I173" s="12">
        <f t="shared" si="4"/>
        <v>0.9258517034</v>
      </c>
      <c r="J173" s="13" t="str">
        <f t="shared" si="5"/>
        <v>OK</v>
      </c>
    </row>
    <row r="174">
      <c r="A174" s="4">
        <v>4.445114986E9</v>
      </c>
      <c r="B174" s="10">
        <v>42477.0</v>
      </c>
      <c r="C174" s="4" t="str">
        <f t="shared" si="1"/>
        <v>444511498642477</v>
      </c>
      <c r="D174" s="4">
        <v>1.0</v>
      </c>
      <c r="E174" s="4">
        <v>98.0</v>
      </c>
      <c r="F174" s="11">
        <f t="shared" si="2"/>
        <v>0.06805555556</v>
      </c>
      <c r="G174" s="4">
        <v>107.0</v>
      </c>
      <c r="H174" s="11">
        <f t="shared" si="3"/>
        <v>0.07430555556</v>
      </c>
      <c r="I174" s="12">
        <f t="shared" si="4"/>
        <v>0.9158878505</v>
      </c>
      <c r="J174" s="13" t="str">
        <f t="shared" si="5"/>
        <v>LOW</v>
      </c>
    </row>
    <row r="175">
      <c r="A175" s="4">
        <v>4.445114986E9</v>
      </c>
      <c r="B175" s="10">
        <v>42479.0</v>
      </c>
      <c r="C175" s="4" t="str">
        <f t="shared" si="1"/>
        <v>444511498642479</v>
      </c>
      <c r="D175" s="4">
        <v>2.0</v>
      </c>
      <c r="E175" s="4">
        <v>388.0</v>
      </c>
      <c r="F175" s="11">
        <f t="shared" si="2"/>
        <v>0.2694444444</v>
      </c>
      <c r="G175" s="4">
        <v>424.0</v>
      </c>
      <c r="H175" s="11">
        <f t="shared" si="3"/>
        <v>0.2944444444</v>
      </c>
      <c r="I175" s="12">
        <f t="shared" si="4"/>
        <v>0.9150943396</v>
      </c>
      <c r="J175" s="13" t="str">
        <f t="shared" si="5"/>
        <v>OK</v>
      </c>
    </row>
    <row r="176">
      <c r="A176" s="4">
        <v>4.445114986E9</v>
      </c>
      <c r="B176" s="10">
        <v>42480.0</v>
      </c>
      <c r="C176" s="4" t="str">
        <f t="shared" si="1"/>
        <v>444511498642480</v>
      </c>
      <c r="D176" s="4">
        <v>1.0</v>
      </c>
      <c r="E176" s="4">
        <v>439.0</v>
      </c>
      <c r="F176" s="11">
        <f t="shared" si="2"/>
        <v>0.3048611111</v>
      </c>
      <c r="G176" s="4">
        <v>462.0</v>
      </c>
      <c r="H176" s="11">
        <f t="shared" si="3"/>
        <v>0.3208333333</v>
      </c>
      <c r="I176" s="12">
        <f t="shared" si="4"/>
        <v>0.9502164502</v>
      </c>
      <c r="J176" s="13" t="str">
        <f t="shared" si="5"/>
        <v>OK</v>
      </c>
    </row>
    <row r="177">
      <c r="A177" s="4">
        <v>4.445114986E9</v>
      </c>
      <c r="B177" s="10">
        <v>42481.0</v>
      </c>
      <c r="C177" s="4" t="str">
        <f t="shared" si="1"/>
        <v>444511498642481</v>
      </c>
      <c r="D177" s="4">
        <v>1.0</v>
      </c>
      <c r="E177" s="4">
        <v>436.0</v>
      </c>
      <c r="F177" s="11">
        <f t="shared" si="2"/>
        <v>0.3027777778</v>
      </c>
      <c r="G177" s="4">
        <v>469.0</v>
      </c>
      <c r="H177" s="11">
        <f t="shared" si="3"/>
        <v>0.3256944444</v>
      </c>
      <c r="I177" s="12">
        <f t="shared" si="4"/>
        <v>0.9296375267</v>
      </c>
      <c r="J177" s="13" t="str">
        <f t="shared" si="5"/>
        <v>OK</v>
      </c>
    </row>
    <row r="178">
      <c r="A178" s="4">
        <v>4.445114986E9</v>
      </c>
      <c r="B178" s="10">
        <v>42482.0</v>
      </c>
      <c r="C178" s="4" t="str">
        <f t="shared" si="1"/>
        <v>444511498642482</v>
      </c>
      <c r="D178" s="4">
        <v>1.0</v>
      </c>
      <c r="E178" s="4">
        <v>388.0</v>
      </c>
      <c r="F178" s="11">
        <f t="shared" si="2"/>
        <v>0.2694444444</v>
      </c>
      <c r="G178" s="4">
        <v>417.0</v>
      </c>
      <c r="H178" s="11">
        <f t="shared" si="3"/>
        <v>0.2895833333</v>
      </c>
      <c r="I178" s="12">
        <f t="shared" si="4"/>
        <v>0.9304556355</v>
      </c>
      <c r="J178" s="13" t="str">
        <f t="shared" si="5"/>
        <v>OK</v>
      </c>
    </row>
    <row r="179">
      <c r="A179" s="4">
        <v>4.445114986E9</v>
      </c>
      <c r="B179" s="10">
        <v>42485.0</v>
      </c>
      <c r="C179" s="4" t="str">
        <f t="shared" si="1"/>
        <v>444511498642485</v>
      </c>
      <c r="D179" s="4">
        <v>1.0</v>
      </c>
      <c r="E179" s="4">
        <v>328.0</v>
      </c>
      <c r="F179" s="11">
        <f t="shared" si="2"/>
        <v>0.2277777778</v>
      </c>
      <c r="G179" s="4">
        <v>345.0</v>
      </c>
      <c r="H179" s="11">
        <f t="shared" si="3"/>
        <v>0.2395833333</v>
      </c>
      <c r="I179" s="12">
        <f t="shared" si="4"/>
        <v>0.9507246377</v>
      </c>
      <c r="J179" s="13" t="str">
        <f t="shared" si="5"/>
        <v>LOW</v>
      </c>
    </row>
    <row r="180">
      <c r="A180" s="4">
        <v>4.445114986E9</v>
      </c>
      <c r="B180" s="10">
        <v>42486.0</v>
      </c>
      <c r="C180" s="4" t="str">
        <f t="shared" si="1"/>
        <v>444511498642486</v>
      </c>
      <c r="D180" s="4">
        <v>2.0</v>
      </c>
      <c r="E180" s="4">
        <v>353.0</v>
      </c>
      <c r="F180" s="11">
        <f t="shared" si="2"/>
        <v>0.2451388889</v>
      </c>
      <c r="G180" s="4">
        <v>391.0</v>
      </c>
      <c r="H180" s="11">
        <f t="shared" si="3"/>
        <v>0.2715277778</v>
      </c>
      <c r="I180" s="12">
        <f t="shared" si="4"/>
        <v>0.9028132992</v>
      </c>
      <c r="J180" s="13" t="str">
        <f t="shared" si="5"/>
        <v>LOW</v>
      </c>
    </row>
    <row r="181">
      <c r="A181" s="4">
        <v>4.445114986E9</v>
      </c>
      <c r="B181" s="10">
        <v>42487.0</v>
      </c>
      <c r="C181" s="4" t="str">
        <f t="shared" si="1"/>
        <v>444511498642487</v>
      </c>
      <c r="D181" s="4">
        <v>1.0</v>
      </c>
      <c r="E181" s="4">
        <v>332.0</v>
      </c>
      <c r="F181" s="11">
        <f t="shared" si="2"/>
        <v>0.2305555556</v>
      </c>
      <c r="G181" s="4">
        <v>374.0</v>
      </c>
      <c r="H181" s="11">
        <f t="shared" si="3"/>
        <v>0.2597222222</v>
      </c>
      <c r="I181" s="12">
        <f t="shared" si="4"/>
        <v>0.8877005348</v>
      </c>
      <c r="J181" s="13" t="str">
        <f t="shared" si="5"/>
        <v>LOW</v>
      </c>
    </row>
    <row r="182">
      <c r="A182" s="4">
        <v>4.445114986E9</v>
      </c>
      <c r="B182" s="10">
        <v>42488.0</v>
      </c>
      <c r="C182" s="4" t="str">
        <f t="shared" si="1"/>
        <v>444511498642488</v>
      </c>
      <c r="D182" s="4">
        <v>1.0</v>
      </c>
      <c r="E182" s="4">
        <v>419.0</v>
      </c>
      <c r="F182" s="11">
        <f t="shared" si="2"/>
        <v>0.2909722222</v>
      </c>
      <c r="G182" s="4">
        <v>442.0</v>
      </c>
      <c r="H182" s="11">
        <f t="shared" si="3"/>
        <v>0.3069444444</v>
      </c>
      <c r="I182" s="12">
        <f t="shared" si="4"/>
        <v>0.9479638009</v>
      </c>
      <c r="J182" s="13" t="str">
        <f t="shared" si="5"/>
        <v>OK</v>
      </c>
    </row>
    <row r="183">
      <c r="A183" s="4">
        <v>4.445114986E9</v>
      </c>
      <c r="B183" s="10">
        <v>42489.0</v>
      </c>
      <c r="C183" s="4" t="str">
        <f t="shared" si="1"/>
        <v>444511498642489</v>
      </c>
      <c r="D183" s="4">
        <v>1.0</v>
      </c>
      <c r="E183" s="4">
        <v>106.0</v>
      </c>
      <c r="F183" s="11">
        <f t="shared" si="2"/>
        <v>0.07361111111</v>
      </c>
      <c r="G183" s="4">
        <v>108.0</v>
      </c>
      <c r="H183" s="11">
        <f t="shared" si="3"/>
        <v>0.075</v>
      </c>
      <c r="I183" s="12">
        <f t="shared" si="4"/>
        <v>0.9814814815</v>
      </c>
      <c r="J183" s="13" t="str">
        <f t="shared" si="5"/>
        <v>LOW</v>
      </c>
    </row>
    <row r="184">
      <c r="A184" s="4">
        <v>4.445114986E9</v>
      </c>
      <c r="B184" s="10">
        <v>42490.0</v>
      </c>
      <c r="C184" s="4" t="str">
        <f t="shared" si="1"/>
        <v>444511498642490</v>
      </c>
      <c r="D184" s="4">
        <v>1.0</v>
      </c>
      <c r="E184" s="4">
        <v>322.0</v>
      </c>
      <c r="F184" s="11">
        <f t="shared" si="2"/>
        <v>0.2236111111</v>
      </c>
      <c r="G184" s="4">
        <v>353.0</v>
      </c>
      <c r="H184" s="11">
        <f t="shared" si="3"/>
        <v>0.2451388889</v>
      </c>
      <c r="I184" s="12">
        <f t="shared" si="4"/>
        <v>0.9121813031</v>
      </c>
      <c r="J184" s="13" t="str">
        <f t="shared" si="5"/>
        <v>LOW</v>
      </c>
    </row>
    <row r="185">
      <c r="A185" s="4">
        <v>4.445114986E9</v>
      </c>
      <c r="B185" s="10">
        <v>42491.0</v>
      </c>
      <c r="C185" s="4" t="str">
        <f t="shared" si="1"/>
        <v>444511498642491</v>
      </c>
      <c r="D185" s="4">
        <v>2.0</v>
      </c>
      <c r="E185" s="4">
        <v>439.0</v>
      </c>
      <c r="F185" s="11">
        <f t="shared" si="2"/>
        <v>0.3048611111</v>
      </c>
      <c r="G185" s="4">
        <v>459.0</v>
      </c>
      <c r="H185" s="11">
        <f t="shared" si="3"/>
        <v>0.31875</v>
      </c>
      <c r="I185" s="12">
        <f t="shared" si="4"/>
        <v>0.9564270153</v>
      </c>
      <c r="J185" s="13" t="str">
        <f t="shared" si="5"/>
        <v>OK</v>
      </c>
    </row>
    <row r="186">
      <c r="A186" s="4">
        <v>4.445114986E9</v>
      </c>
      <c r="B186" s="10">
        <v>42492.0</v>
      </c>
      <c r="C186" s="4" t="str">
        <f t="shared" si="1"/>
        <v>444511498642492</v>
      </c>
      <c r="D186" s="4">
        <v>1.0</v>
      </c>
      <c r="E186" s="4">
        <v>502.0</v>
      </c>
      <c r="F186" s="11">
        <f t="shared" si="2"/>
        <v>0.3486111111</v>
      </c>
      <c r="G186" s="4">
        <v>542.0</v>
      </c>
      <c r="H186" s="11">
        <f t="shared" si="3"/>
        <v>0.3763888889</v>
      </c>
      <c r="I186" s="12">
        <f t="shared" si="4"/>
        <v>0.926199262</v>
      </c>
      <c r="J186" s="13" t="str">
        <f t="shared" si="5"/>
        <v>HIGH</v>
      </c>
    </row>
    <row r="187">
      <c r="A187" s="4">
        <v>4.445114986E9</v>
      </c>
      <c r="B187" s="10">
        <v>42493.0</v>
      </c>
      <c r="C187" s="4" t="str">
        <f t="shared" si="1"/>
        <v>444511498642493</v>
      </c>
      <c r="D187" s="4">
        <v>2.0</v>
      </c>
      <c r="E187" s="4">
        <v>417.0</v>
      </c>
      <c r="F187" s="11">
        <f t="shared" si="2"/>
        <v>0.2895833333</v>
      </c>
      <c r="G187" s="4">
        <v>450.0</v>
      </c>
      <c r="H187" s="11">
        <f t="shared" si="3"/>
        <v>0.3125</v>
      </c>
      <c r="I187" s="12">
        <f t="shared" si="4"/>
        <v>0.9266666667</v>
      </c>
      <c r="J187" s="13" t="str">
        <f t="shared" si="5"/>
        <v>OK</v>
      </c>
    </row>
    <row r="188">
      <c r="A188" s="4">
        <v>4.445114986E9</v>
      </c>
      <c r="B188" s="10">
        <v>42494.0</v>
      </c>
      <c r="C188" s="4" t="str">
        <f t="shared" si="1"/>
        <v>444511498642494</v>
      </c>
      <c r="D188" s="4">
        <v>2.0</v>
      </c>
      <c r="E188" s="4">
        <v>337.0</v>
      </c>
      <c r="F188" s="11">
        <f t="shared" si="2"/>
        <v>0.2340277778</v>
      </c>
      <c r="G188" s="4">
        <v>363.0</v>
      </c>
      <c r="H188" s="11">
        <f t="shared" si="3"/>
        <v>0.2520833333</v>
      </c>
      <c r="I188" s="12">
        <f t="shared" si="4"/>
        <v>0.9283746556</v>
      </c>
      <c r="J188" s="13" t="str">
        <f t="shared" si="5"/>
        <v>LOW</v>
      </c>
    </row>
    <row r="189">
      <c r="A189" s="4">
        <v>4.445114986E9</v>
      </c>
      <c r="B189" s="10">
        <v>42495.0</v>
      </c>
      <c r="C189" s="4" t="str">
        <f t="shared" si="1"/>
        <v>444511498642495</v>
      </c>
      <c r="D189" s="4">
        <v>2.0</v>
      </c>
      <c r="E189" s="4">
        <v>462.0</v>
      </c>
      <c r="F189" s="11">
        <f t="shared" si="2"/>
        <v>0.3208333333</v>
      </c>
      <c r="G189" s="4">
        <v>513.0</v>
      </c>
      <c r="H189" s="11">
        <f t="shared" si="3"/>
        <v>0.35625</v>
      </c>
      <c r="I189" s="12">
        <f t="shared" si="4"/>
        <v>0.9005847953</v>
      </c>
      <c r="J189" s="13" t="str">
        <f t="shared" si="5"/>
        <v>OK</v>
      </c>
    </row>
    <row r="190">
      <c r="A190" s="4">
        <v>4.445114986E9</v>
      </c>
      <c r="B190" s="10">
        <v>42496.0</v>
      </c>
      <c r="C190" s="4" t="str">
        <f t="shared" si="1"/>
        <v>444511498642496</v>
      </c>
      <c r="D190" s="4">
        <v>2.0</v>
      </c>
      <c r="E190" s="4">
        <v>374.0</v>
      </c>
      <c r="F190" s="11">
        <f t="shared" si="2"/>
        <v>0.2597222222</v>
      </c>
      <c r="G190" s="4">
        <v>402.0</v>
      </c>
      <c r="H190" s="11">
        <f t="shared" si="3"/>
        <v>0.2791666667</v>
      </c>
      <c r="I190" s="12">
        <f t="shared" si="4"/>
        <v>0.9303482587</v>
      </c>
      <c r="J190" s="13" t="str">
        <f t="shared" si="5"/>
        <v>OK</v>
      </c>
    </row>
    <row r="191">
      <c r="A191" s="4">
        <v>4.445114986E9</v>
      </c>
      <c r="B191" s="10">
        <v>42497.0</v>
      </c>
      <c r="C191" s="4" t="str">
        <f t="shared" si="1"/>
        <v>444511498642497</v>
      </c>
      <c r="D191" s="4">
        <v>2.0</v>
      </c>
      <c r="E191" s="4">
        <v>401.0</v>
      </c>
      <c r="F191" s="11">
        <f t="shared" si="2"/>
        <v>0.2784722222</v>
      </c>
      <c r="G191" s="4">
        <v>436.0</v>
      </c>
      <c r="H191" s="11">
        <f t="shared" si="3"/>
        <v>0.3027777778</v>
      </c>
      <c r="I191" s="12">
        <f t="shared" si="4"/>
        <v>0.9197247706</v>
      </c>
      <c r="J191" s="13" t="str">
        <f t="shared" si="5"/>
        <v>OK</v>
      </c>
    </row>
    <row r="192">
      <c r="A192" s="4">
        <v>4.445114986E9</v>
      </c>
      <c r="B192" s="10">
        <v>42498.0</v>
      </c>
      <c r="C192" s="4" t="str">
        <f t="shared" si="1"/>
        <v>444511498642498</v>
      </c>
      <c r="D192" s="4">
        <v>1.0</v>
      </c>
      <c r="E192" s="4">
        <v>361.0</v>
      </c>
      <c r="F192" s="11">
        <f t="shared" si="2"/>
        <v>0.2506944444</v>
      </c>
      <c r="G192" s="4">
        <v>391.0</v>
      </c>
      <c r="H192" s="11">
        <f t="shared" si="3"/>
        <v>0.2715277778</v>
      </c>
      <c r="I192" s="12">
        <f t="shared" si="4"/>
        <v>0.9232736573</v>
      </c>
      <c r="J192" s="13" t="str">
        <f t="shared" si="5"/>
        <v>OK</v>
      </c>
    </row>
    <row r="193">
      <c r="A193" s="4">
        <v>4.445114986E9</v>
      </c>
      <c r="B193" s="10">
        <v>42499.0</v>
      </c>
      <c r="C193" s="4" t="str">
        <f t="shared" si="1"/>
        <v>444511498642499</v>
      </c>
      <c r="D193" s="4">
        <v>1.0</v>
      </c>
      <c r="E193" s="4">
        <v>457.0</v>
      </c>
      <c r="F193" s="11">
        <f t="shared" si="2"/>
        <v>0.3173611111</v>
      </c>
      <c r="G193" s="4">
        <v>533.0</v>
      </c>
      <c r="H193" s="11">
        <f t="shared" si="3"/>
        <v>0.3701388889</v>
      </c>
      <c r="I193" s="12">
        <f t="shared" si="4"/>
        <v>0.8574108818</v>
      </c>
      <c r="J193" s="13" t="str">
        <f t="shared" si="5"/>
        <v>OK</v>
      </c>
    </row>
    <row r="194">
      <c r="A194" s="4">
        <v>4.445114986E9</v>
      </c>
      <c r="B194" s="10">
        <v>42500.0</v>
      </c>
      <c r="C194" s="4" t="str">
        <f t="shared" si="1"/>
        <v>444511498642500</v>
      </c>
      <c r="D194" s="4">
        <v>1.0</v>
      </c>
      <c r="E194" s="4">
        <v>405.0</v>
      </c>
      <c r="F194" s="11">
        <f t="shared" si="2"/>
        <v>0.28125</v>
      </c>
      <c r="G194" s="4">
        <v>426.0</v>
      </c>
      <c r="H194" s="11">
        <f t="shared" si="3"/>
        <v>0.2958333333</v>
      </c>
      <c r="I194" s="12">
        <f t="shared" si="4"/>
        <v>0.9507042254</v>
      </c>
      <c r="J194" s="13" t="str">
        <f t="shared" si="5"/>
        <v>OK</v>
      </c>
    </row>
    <row r="195">
      <c r="A195" s="4">
        <v>4.445114986E9</v>
      </c>
      <c r="B195" s="10">
        <v>42501.0</v>
      </c>
      <c r="C195" s="4" t="str">
        <f t="shared" si="1"/>
        <v>444511498642501</v>
      </c>
      <c r="D195" s="4">
        <v>1.0</v>
      </c>
      <c r="E195" s="4">
        <v>499.0</v>
      </c>
      <c r="F195" s="11">
        <f t="shared" si="2"/>
        <v>0.3465277778</v>
      </c>
      <c r="G195" s="4">
        <v>530.0</v>
      </c>
      <c r="H195" s="11">
        <f t="shared" si="3"/>
        <v>0.3680555556</v>
      </c>
      <c r="I195" s="12">
        <f t="shared" si="4"/>
        <v>0.941509434</v>
      </c>
      <c r="J195" s="13" t="str">
        <f t="shared" si="5"/>
        <v>HIGH</v>
      </c>
    </row>
    <row r="196">
      <c r="A196" s="4">
        <v>4.445114986E9</v>
      </c>
      <c r="B196" s="10">
        <v>42502.0</v>
      </c>
      <c r="C196" s="4" t="str">
        <f t="shared" si="1"/>
        <v>444511498642502</v>
      </c>
      <c r="D196" s="4">
        <v>1.0</v>
      </c>
      <c r="E196" s="4">
        <v>483.0</v>
      </c>
      <c r="F196" s="11">
        <f t="shared" si="2"/>
        <v>0.3354166667</v>
      </c>
      <c r="G196" s="4">
        <v>501.0</v>
      </c>
      <c r="H196" s="11">
        <f t="shared" si="3"/>
        <v>0.3479166667</v>
      </c>
      <c r="I196" s="12">
        <f t="shared" si="4"/>
        <v>0.9640718563</v>
      </c>
      <c r="J196" s="13" t="str">
        <f t="shared" si="5"/>
        <v>HIGH</v>
      </c>
    </row>
    <row r="197">
      <c r="A197" s="4">
        <v>4.558609924E9</v>
      </c>
      <c r="B197" s="10">
        <v>42481.0</v>
      </c>
      <c r="C197" s="4" t="str">
        <f t="shared" si="1"/>
        <v>455860992442481</v>
      </c>
      <c r="D197" s="4">
        <v>1.0</v>
      </c>
      <c r="E197" s="4">
        <v>126.0</v>
      </c>
      <c r="F197" s="11">
        <f t="shared" si="2"/>
        <v>0.0875</v>
      </c>
      <c r="G197" s="4">
        <v>137.0</v>
      </c>
      <c r="H197" s="11">
        <f t="shared" si="3"/>
        <v>0.09513888889</v>
      </c>
      <c r="I197" s="12">
        <f t="shared" si="4"/>
        <v>0.9197080292</v>
      </c>
      <c r="J197" s="13" t="str">
        <f t="shared" si="5"/>
        <v>LOW</v>
      </c>
    </row>
    <row r="198">
      <c r="A198" s="4">
        <v>4.558609924E9</v>
      </c>
      <c r="B198" s="10">
        <v>42486.0</v>
      </c>
      <c r="C198" s="4" t="str">
        <f t="shared" si="1"/>
        <v>455860992442486</v>
      </c>
      <c r="D198" s="4">
        <v>1.0</v>
      </c>
      <c r="E198" s="4">
        <v>103.0</v>
      </c>
      <c r="F198" s="11">
        <f t="shared" si="2"/>
        <v>0.07152777778</v>
      </c>
      <c r="G198" s="4">
        <v>121.0</v>
      </c>
      <c r="H198" s="11">
        <f t="shared" si="3"/>
        <v>0.08402777778</v>
      </c>
      <c r="I198" s="12">
        <f t="shared" si="4"/>
        <v>0.8512396694</v>
      </c>
      <c r="J198" s="13" t="str">
        <f t="shared" si="5"/>
        <v>LOW</v>
      </c>
    </row>
    <row r="199">
      <c r="A199" s="4">
        <v>4.558609924E9</v>
      </c>
      <c r="B199" s="10">
        <v>42489.0</v>
      </c>
      <c r="C199" s="4" t="str">
        <f t="shared" si="1"/>
        <v>455860992442489</v>
      </c>
      <c r="D199" s="4">
        <v>1.0</v>
      </c>
      <c r="E199" s="4">
        <v>171.0</v>
      </c>
      <c r="F199" s="11">
        <f t="shared" si="2"/>
        <v>0.11875</v>
      </c>
      <c r="G199" s="4">
        <v>179.0</v>
      </c>
      <c r="H199" s="11">
        <f t="shared" si="3"/>
        <v>0.1243055556</v>
      </c>
      <c r="I199" s="12">
        <f t="shared" si="4"/>
        <v>0.9553072626</v>
      </c>
      <c r="J199" s="13" t="str">
        <f t="shared" si="5"/>
        <v>LOW</v>
      </c>
    </row>
    <row r="200">
      <c r="A200" s="4">
        <v>4.558609924E9</v>
      </c>
      <c r="B200" s="10">
        <v>42491.0</v>
      </c>
      <c r="C200" s="4" t="str">
        <f t="shared" si="1"/>
        <v>455860992442491</v>
      </c>
      <c r="D200" s="4">
        <v>1.0</v>
      </c>
      <c r="E200" s="4">
        <v>115.0</v>
      </c>
      <c r="F200" s="11">
        <f t="shared" si="2"/>
        <v>0.07986111111</v>
      </c>
      <c r="G200" s="4">
        <v>129.0</v>
      </c>
      <c r="H200" s="11">
        <f t="shared" si="3"/>
        <v>0.08958333333</v>
      </c>
      <c r="I200" s="12">
        <f t="shared" si="4"/>
        <v>0.8914728682</v>
      </c>
      <c r="J200" s="13" t="str">
        <f t="shared" si="5"/>
        <v>LOW</v>
      </c>
    </row>
    <row r="201">
      <c r="A201" s="4">
        <v>4.558609924E9</v>
      </c>
      <c r="B201" s="10">
        <v>42498.0</v>
      </c>
      <c r="C201" s="4" t="str">
        <f t="shared" si="1"/>
        <v>455860992442498</v>
      </c>
      <c r="D201" s="4">
        <v>1.0</v>
      </c>
      <c r="E201" s="4">
        <v>123.0</v>
      </c>
      <c r="F201" s="11">
        <f t="shared" si="2"/>
        <v>0.08541666667</v>
      </c>
      <c r="G201" s="4">
        <v>134.0</v>
      </c>
      <c r="H201" s="11">
        <f t="shared" si="3"/>
        <v>0.09305555556</v>
      </c>
      <c r="I201" s="12">
        <f t="shared" si="4"/>
        <v>0.9179104478</v>
      </c>
      <c r="J201" s="13" t="str">
        <f t="shared" si="5"/>
        <v>LOW</v>
      </c>
    </row>
    <row r="202">
      <c r="A202" s="4">
        <v>4.702921684E9</v>
      </c>
      <c r="B202" s="10">
        <v>42472.0</v>
      </c>
      <c r="C202" s="4" t="str">
        <f t="shared" si="1"/>
        <v>470292168442472</v>
      </c>
      <c r="D202" s="4">
        <v>1.0</v>
      </c>
      <c r="E202" s="4">
        <v>425.0</v>
      </c>
      <c r="F202" s="11">
        <f t="shared" si="2"/>
        <v>0.2951388889</v>
      </c>
      <c r="G202" s="4">
        <v>439.0</v>
      </c>
      <c r="H202" s="11">
        <f t="shared" si="3"/>
        <v>0.3048611111</v>
      </c>
      <c r="I202" s="12">
        <f t="shared" si="4"/>
        <v>0.9681093394</v>
      </c>
      <c r="J202" s="13" t="str">
        <f t="shared" si="5"/>
        <v>OK</v>
      </c>
    </row>
    <row r="203">
      <c r="A203" s="4">
        <v>4.702921684E9</v>
      </c>
      <c r="B203" s="10">
        <v>42473.0</v>
      </c>
      <c r="C203" s="4" t="str">
        <f t="shared" si="1"/>
        <v>470292168442473</v>
      </c>
      <c r="D203" s="4">
        <v>2.0</v>
      </c>
      <c r="E203" s="4">
        <v>400.0</v>
      </c>
      <c r="F203" s="11">
        <f t="shared" si="2"/>
        <v>0.2777777778</v>
      </c>
      <c r="G203" s="4">
        <v>430.0</v>
      </c>
      <c r="H203" s="11">
        <f t="shared" si="3"/>
        <v>0.2986111111</v>
      </c>
      <c r="I203" s="12">
        <f t="shared" si="4"/>
        <v>0.9302325581</v>
      </c>
      <c r="J203" s="13" t="str">
        <f t="shared" si="5"/>
        <v>OK</v>
      </c>
    </row>
    <row r="204">
      <c r="A204" s="4">
        <v>4.702921684E9</v>
      </c>
      <c r="B204" s="10">
        <v>42474.0</v>
      </c>
      <c r="C204" s="4" t="str">
        <f t="shared" si="1"/>
        <v>470292168442474</v>
      </c>
      <c r="D204" s="4">
        <v>1.0</v>
      </c>
      <c r="E204" s="4">
        <v>384.0</v>
      </c>
      <c r="F204" s="11">
        <f t="shared" si="2"/>
        <v>0.2666666667</v>
      </c>
      <c r="G204" s="4">
        <v>415.0</v>
      </c>
      <c r="H204" s="11">
        <f t="shared" si="3"/>
        <v>0.2881944444</v>
      </c>
      <c r="I204" s="12">
        <f t="shared" si="4"/>
        <v>0.9253012048</v>
      </c>
      <c r="J204" s="13" t="str">
        <f t="shared" si="5"/>
        <v>OK</v>
      </c>
    </row>
    <row r="205">
      <c r="A205" s="4">
        <v>4.702921684E9</v>
      </c>
      <c r="B205" s="10">
        <v>42475.0</v>
      </c>
      <c r="C205" s="4" t="str">
        <f t="shared" si="1"/>
        <v>470292168442475</v>
      </c>
      <c r="D205" s="4">
        <v>1.0</v>
      </c>
      <c r="E205" s="4">
        <v>253.0</v>
      </c>
      <c r="F205" s="11">
        <f t="shared" si="2"/>
        <v>0.1756944444</v>
      </c>
      <c r="G205" s="4">
        <v>257.0</v>
      </c>
      <c r="H205" s="11">
        <f t="shared" si="3"/>
        <v>0.1784722222</v>
      </c>
      <c r="I205" s="12">
        <f t="shared" si="4"/>
        <v>0.9844357977</v>
      </c>
      <c r="J205" s="13" t="str">
        <f t="shared" si="5"/>
        <v>LOW</v>
      </c>
    </row>
    <row r="206">
      <c r="A206" s="4">
        <v>4.702921684E9</v>
      </c>
      <c r="B206" s="10">
        <v>42476.0</v>
      </c>
      <c r="C206" s="4" t="str">
        <f t="shared" si="1"/>
        <v>470292168442476</v>
      </c>
      <c r="D206" s="4">
        <v>2.0</v>
      </c>
      <c r="E206" s="4">
        <v>382.0</v>
      </c>
      <c r="F206" s="11">
        <f t="shared" si="2"/>
        <v>0.2652777778</v>
      </c>
      <c r="G206" s="4">
        <v>406.0</v>
      </c>
      <c r="H206" s="11">
        <f t="shared" si="3"/>
        <v>0.2819444444</v>
      </c>
      <c r="I206" s="12">
        <f t="shared" si="4"/>
        <v>0.9408866995</v>
      </c>
      <c r="J206" s="13" t="str">
        <f t="shared" si="5"/>
        <v>OK</v>
      </c>
    </row>
    <row r="207">
      <c r="A207" s="4">
        <v>4.702921684E9</v>
      </c>
      <c r="B207" s="10">
        <v>42477.0</v>
      </c>
      <c r="C207" s="4" t="str">
        <f t="shared" si="1"/>
        <v>470292168442477</v>
      </c>
      <c r="D207" s="4">
        <v>1.0</v>
      </c>
      <c r="E207" s="4">
        <v>591.0</v>
      </c>
      <c r="F207" s="11">
        <f t="shared" si="2"/>
        <v>0.4104166667</v>
      </c>
      <c r="G207" s="4">
        <v>612.0</v>
      </c>
      <c r="H207" s="11">
        <f t="shared" si="3"/>
        <v>0.425</v>
      </c>
      <c r="I207" s="12">
        <f t="shared" si="4"/>
        <v>0.9656862745</v>
      </c>
      <c r="J207" s="13" t="str">
        <f t="shared" si="5"/>
        <v>HIGH</v>
      </c>
    </row>
    <row r="208">
      <c r="A208" s="4">
        <v>4.702921684E9</v>
      </c>
      <c r="B208" s="10">
        <v>42478.0</v>
      </c>
      <c r="C208" s="4" t="str">
        <f t="shared" si="1"/>
        <v>470292168442478</v>
      </c>
      <c r="D208" s="4">
        <v>1.0</v>
      </c>
      <c r="E208" s="4">
        <v>293.0</v>
      </c>
      <c r="F208" s="11">
        <f t="shared" si="2"/>
        <v>0.2034722222</v>
      </c>
      <c r="G208" s="4">
        <v>312.0</v>
      </c>
      <c r="H208" s="11">
        <f t="shared" si="3"/>
        <v>0.2166666667</v>
      </c>
      <c r="I208" s="12">
        <f t="shared" si="4"/>
        <v>0.9391025641</v>
      </c>
      <c r="J208" s="13" t="str">
        <f t="shared" si="5"/>
        <v>LOW</v>
      </c>
    </row>
    <row r="209">
      <c r="A209" s="4">
        <v>4.702921684E9</v>
      </c>
      <c r="B209" s="10">
        <v>42479.0</v>
      </c>
      <c r="C209" s="4" t="str">
        <f t="shared" si="1"/>
        <v>470292168442479</v>
      </c>
      <c r="D209" s="4">
        <v>1.0</v>
      </c>
      <c r="E209" s="4">
        <v>457.0</v>
      </c>
      <c r="F209" s="11">
        <f t="shared" si="2"/>
        <v>0.3173611111</v>
      </c>
      <c r="G209" s="4">
        <v>487.0</v>
      </c>
      <c r="H209" s="11">
        <f t="shared" si="3"/>
        <v>0.3381944444</v>
      </c>
      <c r="I209" s="12">
        <f t="shared" si="4"/>
        <v>0.9383983573</v>
      </c>
      <c r="J209" s="13" t="str">
        <f t="shared" si="5"/>
        <v>OK</v>
      </c>
    </row>
    <row r="210">
      <c r="A210" s="4">
        <v>4.702921684E9</v>
      </c>
      <c r="B210" s="10">
        <v>42480.0</v>
      </c>
      <c r="C210" s="4" t="str">
        <f t="shared" si="1"/>
        <v>470292168442480</v>
      </c>
      <c r="D210" s="4">
        <v>1.0</v>
      </c>
      <c r="E210" s="4">
        <v>454.0</v>
      </c>
      <c r="F210" s="11">
        <f t="shared" si="2"/>
        <v>0.3152777778</v>
      </c>
      <c r="G210" s="4">
        <v>468.0</v>
      </c>
      <c r="H210" s="11">
        <f t="shared" si="3"/>
        <v>0.325</v>
      </c>
      <c r="I210" s="12">
        <f t="shared" si="4"/>
        <v>0.9700854701</v>
      </c>
      <c r="J210" s="13" t="str">
        <f t="shared" si="5"/>
        <v>OK</v>
      </c>
    </row>
    <row r="211">
      <c r="A211" s="4">
        <v>4.702921684E9</v>
      </c>
      <c r="B211" s="10">
        <v>42481.0</v>
      </c>
      <c r="C211" s="4" t="str">
        <f t="shared" si="1"/>
        <v>470292168442481</v>
      </c>
      <c r="D211" s="4">
        <v>1.0</v>
      </c>
      <c r="E211" s="4">
        <v>425.0</v>
      </c>
      <c r="F211" s="11">
        <f t="shared" si="2"/>
        <v>0.2951388889</v>
      </c>
      <c r="G211" s="4">
        <v>434.0</v>
      </c>
      <c r="H211" s="11">
        <f t="shared" si="3"/>
        <v>0.3013888889</v>
      </c>
      <c r="I211" s="12">
        <f t="shared" si="4"/>
        <v>0.9792626728</v>
      </c>
      <c r="J211" s="13" t="str">
        <f t="shared" si="5"/>
        <v>OK</v>
      </c>
    </row>
    <row r="212">
      <c r="A212" s="4">
        <v>4.702921684E9</v>
      </c>
      <c r="B212" s="10">
        <v>42483.0</v>
      </c>
      <c r="C212" s="4" t="str">
        <f t="shared" si="1"/>
        <v>470292168442483</v>
      </c>
      <c r="D212" s="4">
        <v>1.0</v>
      </c>
      <c r="E212" s="4">
        <v>465.0</v>
      </c>
      <c r="F212" s="11">
        <f t="shared" si="2"/>
        <v>0.3229166667</v>
      </c>
      <c r="G212" s="4">
        <v>475.0</v>
      </c>
      <c r="H212" s="11">
        <f t="shared" si="3"/>
        <v>0.3298611111</v>
      </c>
      <c r="I212" s="12">
        <f t="shared" si="4"/>
        <v>0.9789473684</v>
      </c>
      <c r="J212" s="13" t="str">
        <f t="shared" si="5"/>
        <v>OK</v>
      </c>
    </row>
    <row r="213">
      <c r="A213" s="4">
        <v>4.702921684E9</v>
      </c>
      <c r="B213" s="10">
        <v>42484.0</v>
      </c>
      <c r="C213" s="4" t="str">
        <f t="shared" si="1"/>
        <v>470292168442484</v>
      </c>
      <c r="D213" s="4">
        <v>1.0</v>
      </c>
      <c r="E213" s="4">
        <v>480.0</v>
      </c>
      <c r="F213" s="11">
        <f t="shared" si="2"/>
        <v>0.3333333333</v>
      </c>
      <c r="G213" s="4">
        <v>506.0</v>
      </c>
      <c r="H213" s="11">
        <f t="shared" si="3"/>
        <v>0.3513888889</v>
      </c>
      <c r="I213" s="12">
        <f t="shared" si="4"/>
        <v>0.9486166008</v>
      </c>
      <c r="J213" s="13" t="str">
        <f t="shared" si="5"/>
        <v>HIGH</v>
      </c>
    </row>
    <row r="214">
      <c r="A214" s="4">
        <v>4.702921684E9</v>
      </c>
      <c r="B214" s="10">
        <v>42485.0</v>
      </c>
      <c r="C214" s="4" t="str">
        <f t="shared" si="1"/>
        <v>470292168442485</v>
      </c>
      <c r="D214" s="4">
        <v>1.0</v>
      </c>
      <c r="E214" s="4">
        <v>370.0</v>
      </c>
      <c r="F214" s="11">
        <f t="shared" si="2"/>
        <v>0.2569444444</v>
      </c>
      <c r="G214" s="4">
        <v>380.0</v>
      </c>
      <c r="H214" s="11">
        <f t="shared" si="3"/>
        <v>0.2638888889</v>
      </c>
      <c r="I214" s="12">
        <f t="shared" si="4"/>
        <v>0.9736842105</v>
      </c>
      <c r="J214" s="13" t="str">
        <f t="shared" si="5"/>
        <v>OK</v>
      </c>
    </row>
    <row r="215">
      <c r="A215" s="4">
        <v>4.702921684E9</v>
      </c>
      <c r="B215" s="10">
        <v>42486.0</v>
      </c>
      <c r="C215" s="4" t="str">
        <f t="shared" si="1"/>
        <v>470292168442486</v>
      </c>
      <c r="D215" s="4">
        <v>1.0</v>
      </c>
      <c r="E215" s="4">
        <v>421.0</v>
      </c>
      <c r="F215" s="11">
        <f t="shared" si="2"/>
        <v>0.2923611111</v>
      </c>
      <c r="G215" s="4">
        <v>429.0</v>
      </c>
      <c r="H215" s="11">
        <f t="shared" si="3"/>
        <v>0.2979166667</v>
      </c>
      <c r="I215" s="12">
        <f t="shared" si="4"/>
        <v>0.9813519814</v>
      </c>
      <c r="J215" s="13" t="str">
        <f t="shared" si="5"/>
        <v>OK</v>
      </c>
    </row>
    <row r="216">
      <c r="A216" s="4">
        <v>4.702921684E9</v>
      </c>
      <c r="B216" s="10">
        <v>42487.0</v>
      </c>
      <c r="C216" s="4" t="str">
        <f t="shared" si="1"/>
        <v>470292168442487</v>
      </c>
      <c r="D216" s="4">
        <v>1.0</v>
      </c>
      <c r="E216" s="4">
        <v>432.0</v>
      </c>
      <c r="F216" s="11">
        <f t="shared" si="2"/>
        <v>0.3</v>
      </c>
      <c r="G216" s="4">
        <v>449.0</v>
      </c>
      <c r="H216" s="11">
        <f t="shared" si="3"/>
        <v>0.3118055556</v>
      </c>
      <c r="I216" s="12">
        <f t="shared" si="4"/>
        <v>0.9621380846</v>
      </c>
      <c r="J216" s="13" t="str">
        <f t="shared" si="5"/>
        <v>OK</v>
      </c>
    </row>
    <row r="217">
      <c r="A217" s="4">
        <v>4.702921684E9</v>
      </c>
      <c r="B217" s="10">
        <v>42488.0</v>
      </c>
      <c r="C217" s="4" t="str">
        <f t="shared" si="1"/>
        <v>470292168442488</v>
      </c>
      <c r="D217" s="4">
        <v>1.0</v>
      </c>
      <c r="E217" s="4">
        <v>442.0</v>
      </c>
      <c r="F217" s="11">
        <f t="shared" si="2"/>
        <v>0.3069444444</v>
      </c>
      <c r="G217" s="4">
        <v>461.0</v>
      </c>
      <c r="H217" s="11">
        <f t="shared" si="3"/>
        <v>0.3201388889</v>
      </c>
      <c r="I217" s="12">
        <f t="shared" si="4"/>
        <v>0.9587852495</v>
      </c>
      <c r="J217" s="13" t="str">
        <f t="shared" si="5"/>
        <v>OK</v>
      </c>
    </row>
    <row r="218">
      <c r="A218" s="4">
        <v>4.702921684E9</v>
      </c>
      <c r="B218" s="10">
        <v>42489.0</v>
      </c>
      <c r="C218" s="4" t="str">
        <f t="shared" si="1"/>
        <v>470292168442489</v>
      </c>
      <c r="D218" s="4">
        <v>1.0</v>
      </c>
      <c r="E218" s="4">
        <v>433.0</v>
      </c>
      <c r="F218" s="11">
        <f t="shared" si="2"/>
        <v>0.3006944444</v>
      </c>
      <c r="G218" s="4">
        <v>447.0</v>
      </c>
      <c r="H218" s="11">
        <f t="shared" si="3"/>
        <v>0.3104166667</v>
      </c>
      <c r="I218" s="12">
        <f t="shared" si="4"/>
        <v>0.9686800895</v>
      </c>
      <c r="J218" s="13" t="str">
        <f t="shared" si="5"/>
        <v>OK</v>
      </c>
    </row>
    <row r="219">
      <c r="A219" s="4">
        <v>4.702921684E9</v>
      </c>
      <c r="B219" s="10">
        <v>42490.0</v>
      </c>
      <c r="C219" s="4" t="str">
        <f t="shared" si="1"/>
        <v>470292168442490</v>
      </c>
      <c r="D219" s="4">
        <v>1.0</v>
      </c>
      <c r="E219" s="4">
        <v>479.0</v>
      </c>
      <c r="F219" s="11">
        <f t="shared" si="2"/>
        <v>0.3326388889</v>
      </c>
      <c r="G219" s="4">
        <v>501.0</v>
      </c>
      <c r="H219" s="11">
        <f t="shared" si="3"/>
        <v>0.3479166667</v>
      </c>
      <c r="I219" s="12">
        <f t="shared" si="4"/>
        <v>0.9560878244</v>
      </c>
      <c r="J219" s="13" t="str">
        <f t="shared" si="5"/>
        <v>OK</v>
      </c>
    </row>
    <row r="220">
      <c r="A220" s="4">
        <v>4.702921684E9</v>
      </c>
      <c r="B220" s="10">
        <v>42493.0</v>
      </c>
      <c r="C220" s="4" t="str">
        <f t="shared" si="1"/>
        <v>470292168442493</v>
      </c>
      <c r="D220" s="4">
        <v>1.0</v>
      </c>
      <c r="E220" s="4">
        <v>327.0</v>
      </c>
      <c r="F220" s="11">
        <f t="shared" si="2"/>
        <v>0.2270833333</v>
      </c>
      <c r="G220" s="4">
        <v>373.0</v>
      </c>
      <c r="H220" s="11">
        <f t="shared" si="3"/>
        <v>0.2590277778</v>
      </c>
      <c r="I220" s="12">
        <f t="shared" si="4"/>
        <v>0.8766756032</v>
      </c>
      <c r="J220" s="13" t="str">
        <f t="shared" si="5"/>
        <v>LOW</v>
      </c>
    </row>
    <row r="221">
      <c r="A221" s="4">
        <v>4.702921684E9</v>
      </c>
      <c r="B221" s="10">
        <v>42494.0</v>
      </c>
      <c r="C221" s="4" t="str">
        <f t="shared" si="1"/>
        <v>470292168442494</v>
      </c>
      <c r="D221" s="4">
        <v>1.0</v>
      </c>
      <c r="E221" s="4">
        <v>412.0</v>
      </c>
      <c r="F221" s="11">
        <f t="shared" si="2"/>
        <v>0.2861111111</v>
      </c>
      <c r="G221" s="4">
        <v>434.0</v>
      </c>
      <c r="H221" s="11">
        <f t="shared" si="3"/>
        <v>0.3013888889</v>
      </c>
      <c r="I221" s="12">
        <f t="shared" si="4"/>
        <v>0.9493087558</v>
      </c>
      <c r="J221" s="13" t="str">
        <f t="shared" si="5"/>
        <v>OK</v>
      </c>
    </row>
    <row r="222">
      <c r="A222" s="4">
        <v>4.702921684E9</v>
      </c>
      <c r="B222" s="10">
        <v>42495.0</v>
      </c>
      <c r="C222" s="4" t="str">
        <f t="shared" si="1"/>
        <v>470292168442495</v>
      </c>
      <c r="D222" s="4">
        <v>1.0</v>
      </c>
      <c r="E222" s="4">
        <v>414.0</v>
      </c>
      <c r="F222" s="11">
        <f t="shared" si="2"/>
        <v>0.2875</v>
      </c>
      <c r="G222" s="4">
        <v>428.0</v>
      </c>
      <c r="H222" s="11">
        <f t="shared" si="3"/>
        <v>0.2972222222</v>
      </c>
      <c r="I222" s="12">
        <f t="shared" si="4"/>
        <v>0.9672897196</v>
      </c>
      <c r="J222" s="13" t="str">
        <f t="shared" si="5"/>
        <v>OK</v>
      </c>
    </row>
    <row r="223">
      <c r="A223" s="4">
        <v>4.702921684E9</v>
      </c>
      <c r="B223" s="10">
        <v>42496.0</v>
      </c>
      <c r="C223" s="4" t="str">
        <f t="shared" si="1"/>
        <v>470292168442496</v>
      </c>
      <c r="D223" s="4">
        <v>1.0</v>
      </c>
      <c r="E223" s="4">
        <v>404.0</v>
      </c>
      <c r="F223" s="11">
        <f t="shared" si="2"/>
        <v>0.2805555556</v>
      </c>
      <c r="G223" s="4">
        <v>449.0</v>
      </c>
      <c r="H223" s="11">
        <f t="shared" si="3"/>
        <v>0.3118055556</v>
      </c>
      <c r="I223" s="12">
        <f t="shared" si="4"/>
        <v>0.8997772829</v>
      </c>
      <c r="J223" s="13" t="str">
        <f t="shared" si="5"/>
        <v>OK</v>
      </c>
    </row>
    <row r="224">
      <c r="A224" s="4">
        <v>4.702921684E9</v>
      </c>
      <c r="B224" s="10">
        <v>42497.0</v>
      </c>
      <c r="C224" s="4" t="str">
        <f t="shared" si="1"/>
        <v>470292168442497</v>
      </c>
      <c r="D224" s="4">
        <v>1.0</v>
      </c>
      <c r="E224" s="4">
        <v>520.0</v>
      </c>
      <c r="F224" s="11">
        <f t="shared" si="2"/>
        <v>0.3611111111</v>
      </c>
      <c r="G224" s="4">
        <v>543.0</v>
      </c>
      <c r="H224" s="11">
        <f t="shared" si="3"/>
        <v>0.3770833333</v>
      </c>
      <c r="I224" s="12">
        <f t="shared" si="4"/>
        <v>0.9576427256</v>
      </c>
      <c r="J224" s="13" t="str">
        <f t="shared" si="5"/>
        <v>HIGH</v>
      </c>
    </row>
    <row r="225">
      <c r="A225" s="4">
        <v>4.702921684E9</v>
      </c>
      <c r="B225" s="10">
        <v>42497.0</v>
      </c>
      <c r="C225" s="4" t="str">
        <f t="shared" si="1"/>
        <v>470292168442497</v>
      </c>
      <c r="D225" s="4">
        <v>1.0</v>
      </c>
      <c r="E225" s="4">
        <v>520.0</v>
      </c>
      <c r="F225" s="11">
        <f t="shared" si="2"/>
        <v>0.3611111111</v>
      </c>
      <c r="G225" s="4">
        <v>543.0</v>
      </c>
      <c r="H225" s="11">
        <f t="shared" si="3"/>
        <v>0.3770833333</v>
      </c>
      <c r="I225" s="12">
        <f t="shared" si="4"/>
        <v>0.9576427256</v>
      </c>
      <c r="J225" s="13" t="str">
        <f t="shared" si="5"/>
        <v>HIGH</v>
      </c>
    </row>
    <row r="226">
      <c r="A226" s="4">
        <v>4.702921684E9</v>
      </c>
      <c r="B226" s="10">
        <v>42499.0</v>
      </c>
      <c r="C226" s="4" t="str">
        <f t="shared" si="1"/>
        <v>470292168442499</v>
      </c>
      <c r="D226" s="4">
        <v>1.0</v>
      </c>
      <c r="E226" s="4">
        <v>435.0</v>
      </c>
      <c r="F226" s="11">
        <f t="shared" si="2"/>
        <v>0.3020833333</v>
      </c>
      <c r="G226" s="4">
        <v>458.0</v>
      </c>
      <c r="H226" s="11">
        <f t="shared" si="3"/>
        <v>0.3180555556</v>
      </c>
      <c r="I226" s="12">
        <f t="shared" si="4"/>
        <v>0.9497816594</v>
      </c>
      <c r="J226" s="13" t="str">
        <f t="shared" si="5"/>
        <v>OK</v>
      </c>
    </row>
    <row r="227">
      <c r="A227" s="4">
        <v>4.702921684E9</v>
      </c>
      <c r="B227" s="10">
        <v>42500.0</v>
      </c>
      <c r="C227" s="4" t="str">
        <f t="shared" si="1"/>
        <v>470292168442500</v>
      </c>
      <c r="D227" s="4">
        <v>1.0</v>
      </c>
      <c r="E227" s="4">
        <v>416.0</v>
      </c>
      <c r="F227" s="11">
        <f t="shared" si="2"/>
        <v>0.2888888889</v>
      </c>
      <c r="G227" s="4">
        <v>431.0</v>
      </c>
      <c r="H227" s="11">
        <f t="shared" si="3"/>
        <v>0.2993055556</v>
      </c>
      <c r="I227" s="12">
        <f t="shared" si="4"/>
        <v>0.9651972158</v>
      </c>
      <c r="J227" s="13" t="str">
        <f t="shared" si="5"/>
        <v>OK</v>
      </c>
    </row>
    <row r="228">
      <c r="A228" s="4">
        <v>4.702921684E9</v>
      </c>
      <c r="B228" s="10">
        <v>42501.0</v>
      </c>
      <c r="C228" s="4" t="str">
        <f t="shared" si="1"/>
        <v>470292168442501</v>
      </c>
      <c r="D228" s="4">
        <v>1.0</v>
      </c>
      <c r="E228" s="4">
        <v>354.0</v>
      </c>
      <c r="F228" s="11">
        <f t="shared" si="2"/>
        <v>0.2458333333</v>
      </c>
      <c r="G228" s="4">
        <v>366.0</v>
      </c>
      <c r="H228" s="11">
        <f t="shared" si="3"/>
        <v>0.2541666667</v>
      </c>
      <c r="I228" s="12">
        <f t="shared" si="4"/>
        <v>0.9672131148</v>
      </c>
      <c r="J228" s="13" t="str">
        <f t="shared" si="5"/>
        <v>LOW</v>
      </c>
    </row>
    <row r="229">
      <c r="A229" s="4">
        <v>4.702921684E9</v>
      </c>
      <c r="B229" s="10">
        <v>42502.0</v>
      </c>
      <c r="C229" s="4" t="str">
        <f t="shared" si="1"/>
        <v>470292168442502</v>
      </c>
      <c r="D229" s="4">
        <v>1.0</v>
      </c>
      <c r="E229" s="4">
        <v>404.0</v>
      </c>
      <c r="F229" s="11">
        <f t="shared" si="2"/>
        <v>0.2805555556</v>
      </c>
      <c r="G229" s="4">
        <v>442.0</v>
      </c>
      <c r="H229" s="11">
        <f t="shared" si="3"/>
        <v>0.3069444444</v>
      </c>
      <c r="I229" s="12">
        <f t="shared" si="4"/>
        <v>0.9140271493</v>
      </c>
      <c r="J229" s="13" t="str">
        <f t="shared" si="5"/>
        <v>OK</v>
      </c>
    </row>
    <row r="230">
      <c r="A230" s="4">
        <v>5.553957443E9</v>
      </c>
      <c r="B230" s="10">
        <v>42472.0</v>
      </c>
      <c r="C230" s="4" t="str">
        <f t="shared" si="1"/>
        <v>555395744342472</v>
      </c>
      <c r="D230" s="4">
        <v>1.0</v>
      </c>
      <c r="E230" s="4">
        <v>441.0</v>
      </c>
      <c r="F230" s="11">
        <f t="shared" si="2"/>
        <v>0.30625</v>
      </c>
      <c r="G230" s="4">
        <v>464.0</v>
      </c>
      <c r="H230" s="11">
        <f t="shared" si="3"/>
        <v>0.3222222222</v>
      </c>
      <c r="I230" s="12">
        <f t="shared" si="4"/>
        <v>0.9504310345</v>
      </c>
      <c r="J230" s="13" t="str">
        <f t="shared" si="5"/>
        <v>OK</v>
      </c>
    </row>
    <row r="231">
      <c r="A231" s="4">
        <v>5.553957443E9</v>
      </c>
      <c r="B231" s="10">
        <v>42473.0</v>
      </c>
      <c r="C231" s="4" t="str">
        <f t="shared" si="1"/>
        <v>555395744342473</v>
      </c>
      <c r="D231" s="4">
        <v>2.0</v>
      </c>
      <c r="E231" s="4">
        <v>455.0</v>
      </c>
      <c r="F231" s="11">
        <f t="shared" si="2"/>
        <v>0.3159722222</v>
      </c>
      <c r="G231" s="4">
        <v>488.0</v>
      </c>
      <c r="H231" s="11">
        <f t="shared" si="3"/>
        <v>0.3388888889</v>
      </c>
      <c r="I231" s="12">
        <f t="shared" si="4"/>
        <v>0.9323770492</v>
      </c>
      <c r="J231" s="13" t="str">
        <f t="shared" si="5"/>
        <v>OK</v>
      </c>
    </row>
    <row r="232">
      <c r="A232" s="4">
        <v>5.553957443E9</v>
      </c>
      <c r="B232" s="10">
        <v>42474.0</v>
      </c>
      <c r="C232" s="4" t="str">
        <f t="shared" si="1"/>
        <v>555395744342474</v>
      </c>
      <c r="D232" s="4">
        <v>1.0</v>
      </c>
      <c r="E232" s="4">
        <v>357.0</v>
      </c>
      <c r="F232" s="11">
        <f t="shared" si="2"/>
        <v>0.2479166667</v>
      </c>
      <c r="G232" s="4">
        <v>418.0</v>
      </c>
      <c r="H232" s="11">
        <f t="shared" si="3"/>
        <v>0.2902777778</v>
      </c>
      <c r="I232" s="12">
        <f t="shared" si="4"/>
        <v>0.8540669856</v>
      </c>
      <c r="J232" s="13" t="str">
        <f t="shared" si="5"/>
        <v>LOW</v>
      </c>
    </row>
    <row r="233">
      <c r="A233" s="4">
        <v>5.553957443E9</v>
      </c>
      <c r="B233" s="10">
        <v>42475.0</v>
      </c>
      <c r="C233" s="4" t="str">
        <f t="shared" si="1"/>
        <v>555395744342475</v>
      </c>
      <c r="D233" s="4">
        <v>1.0</v>
      </c>
      <c r="E233" s="4">
        <v>377.0</v>
      </c>
      <c r="F233" s="11">
        <f t="shared" si="2"/>
        <v>0.2618055556</v>
      </c>
      <c r="G233" s="4">
        <v>409.0</v>
      </c>
      <c r="H233" s="11">
        <f t="shared" si="3"/>
        <v>0.2840277778</v>
      </c>
      <c r="I233" s="12">
        <f t="shared" si="4"/>
        <v>0.9217603912</v>
      </c>
      <c r="J233" s="13" t="str">
        <f t="shared" si="5"/>
        <v>OK</v>
      </c>
    </row>
    <row r="234">
      <c r="A234" s="4">
        <v>5.553957443E9</v>
      </c>
      <c r="B234" s="10">
        <v>42476.0</v>
      </c>
      <c r="C234" s="4" t="str">
        <f t="shared" si="1"/>
        <v>555395744342476</v>
      </c>
      <c r="D234" s="4">
        <v>2.0</v>
      </c>
      <c r="E234" s="4">
        <v>651.0</v>
      </c>
      <c r="F234" s="11">
        <f t="shared" si="2"/>
        <v>0.4520833333</v>
      </c>
      <c r="G234" s="4">
        <v>686.0</v>
      </c>
      <c r="H234" s="11">
        <f t="shared" si="3"/>
        <v>0.4763888889</v>
      </c>
      <c r="I234" s="12">
        <f t="shared" si="4"/>
        <v>0.9489795918</v>
      </c>
      <c r="J234" s="13" t="str">
        <f t="shared" si="5"/>
        <v>HIGH</v>
      </c>
    </row>
    <row r="235">
      <c r="A235" s="4">
        <v>5.553957443E9</v>
      </c>
      <c r="B235" s="10">
        <v>42477.0</v>
      </c>
      <c r="C235" s="4" t="str">
        <f t="shared" si="1"/>
        <v>555395744342477</v>
      </c>
      <c r="D235" s="4">
        <v>1.0</v>
      </c>
      <c r="E235" s="4">
        <v>350.0</v>
      </c>
      <c r="F235" s="11">
        <f t="shared" si="2"/>
        <v>0.2430555556</v>
      </c>
      <c r="G235" s="4">
        <v>402.0</v>
      </c>
      <c r="H235" s="11">
        <f t="shared" si="3"/>
        <v>0.2791666667</v>
      </c>
      <c r="I235" s="12">
        <f t="shared" si="4"/>
        <v>0.8706467662</v>
      </c>
      <c r="J235" s="13" t="str">
        <f t="shared" si="5"/>
        <v>LOW</v>
      </c>
    </row>
    <row r="236">
      <c r="A236" s="4">
        <v>5.553957443E9</v>
      </c>
      <c r="B236" s="10">
        <v>42478.0</v>
      </c>
      <c r="C236" s="4" t="str">
        <f t="shared" si="1"/>
        <v>555395744342478</v>
      </c>
      <c r="D236" s="4">
        <v>2.0</v>
      </c>
      <c r="E236" s="4">
        <v>520.0</v>
      </c>
      <c r="F236" s="11">
        <f t="shared" si="2"/>
        <v>0.3611111111</v>
      </c>
      <c r="G236" s="4">
        <v>541.0</v>
      </c>
      <c r="H236" s="11">
        <f t="shared" si="3"/>
        <v>0.3756944444</v>
      </c>
      <c r="I236" s="12">
        <f t="shared" si="4"/>
        <v>0.9611829945</v>
      </c>
      <c r="J236" s="13" t="str">
        <f t="shared" si="5"/>
        <v>HIGH</v>
      </c>
    </row>
    <row r="237">
      <c r="A237" s="4">
        <v>5.553957443E9</v>
      </c>
      <c r="B237" s="10">
        <v>42479.0</v>
      </c>
      <c r="C237" s="4" t="str">
        <f t="shared" si="1"/>
        <v>555395744342479</v>
      </c>
      <c r="D237" s="4">
        <v>1.0</v>
      </c>
      <c r="E237" s="4">
        <v>357.0</v>
      </c>
      <c r="F237" s="11">
        <f t="shared" si="2"/>
        <v>0.2479166667</v>
      </c>
      <c r="G237" s="4">
        <v>410.0</v>
      </c>
      <c r="H237" s="11">
        <f t="shared" si="3"/>
        <v>0.2847222222</v>
      </c>
      <c r="I237" s="12">
        <f t="shared" si="4"/>
        <v>0.8707317073</v>
      </c>
      <c r="J237" s="13" t="str">
        <f t="shared" si="5"/>
        <v>LOW</v>
      </c>
    </row>
    <row r="238">
      <c r="A238" s="4">
        <v>5.553957443E9</v>
      </c>
      <c r="B238" s="10">
        <v>42480.0</v>
      </c>
      <c r="C238" s="4" t="str">
        <f t="shared" si="1"/>
        <v>555395744342480</v>
      </c>
      <c r="D238" s="4">
        <v>1.0</v>
      </c>
      <c r="E238" s="4">
        <v>658.0</v>
      </c>
      <c r="F238" s="11">
        <f t="shared" si="2"/>
        <v>0.4569444444</v>
      </c>
      <c r="G238" s="4">
        <v>678.0</v>
      </c>
      <c r="H238" s="11">
        <f t="shared" si="3"/>
        <v>0.4708333333</v>
      </c>
      <c r="I238" s="12">
        <f t="shared" si="4"/>
        <v>0.9705014749</v>
      </c>
      <c r="J238" s="13" t="str">
        <f t="shared" si="5"/>
        <v>HIGH</v>
      </c>
    </row>
    <row r="239">
      <c r="A239" s="4">
        <v>5.553957443E9</v>
      </c>
      <c r="B239" s="10">
        <v>42481.0</v>
      </c>
      <c r="C239" s="4" t="str">
        <f t="shared" si="1"/>
        <v>555395744342481</v>
      </c>
      <c r="D239" s="4">
        <v>1.0</v>
      </c>
      <c r="E239" s="4">
        <v>399.0</v>
      </c>
      <c r="F239" s="11">
        <f t="shared" si="2"/>
        <v>0.2770833333</v>
      </c>
      <c r="G239" s="4">
        <v>431.0</v>
      </c>
      <c r="H239" s="11">
        <f t="shared" si="3"/>
        <v>0.2993055556</v>
      </c>
      <c r="I239" s="12">
        <f t="shared" si="4"/>
        <v>0.9257540603</v>
      </c>
      <c r="J239" s="13" t="str">
        <f t="shared" si="5"/>
        <v>OK</v>
      </c>
    </row>
    <row r="240">
      <c r="A240" s="4">
        <v>5.553957443E9</v>
      </c>
      <c r="B240" s="10">
        <v>42482.0</v>
      </c>
      <c r="C240" s="4" t="str">
        <f t="shared" si="1"/>
        <v>555395744342482</v>
      </c>
      <c r="D240" s="4">
        <v>1.0</v>
      </c>
      <c r="E240" s="4">
        <v>322.0</v>
      </c>
      <c r="F240" s="11">
        <f t="shared" si="2"/>
        <v>0.2236111111</v>
      </c>
      <c r="G240" s="4">
        <v>353.0</v>
      </c>
      <c r="H240" s="11">
        <f t="shared" si="3"/>
        <v>0.2451388889</v>
      </c>
      <c r="I240" s="12">
        <f t="shared" si="4"/>
        <v>0.9121813031</v>
      </c>
      <c r="J240" s="13" t="str">
        <f t="shared" si="5"/>
        <v>LOW</v>
      </c>
    </row>
    <row r="241">
      <c r="A241" s="4">
        <v>5.553957443E9</v>
      </c>
      <c r="B241" s="10">
        <v>42483.0</v>
      </c>
      <c r="C241" s="4" t="str">
        <f t="shared" si="1"/>
        <v>555395744342483</v>
      </c>
      <c r="D241" s="4">
        <v>2.0</v>
      </c>
      <c r="E241" s="4">
        <v>631.0</v>
      </c>
      <c r="F241" s="11">
        <f t="shared" si="2"/>
        <v>0.4381944444</v>
      </c>
      <c r="G241" s="4">
        <v>725.0</v>
      </c>
      <c r="H241" s="11">
        <f t="shared" si="3"/>
        <v>0.5034722222</v>
      </c>
      <c r="I241" s="12">
        <f t="shared" si="4"/>
        <v>0.8703448276</v>
      </c>
      <c r="J241" s="13" t="str">
        <f t="shared" si="5"/>
        <v>HIGH</v>
      </c>
    </row>
    <row r="242">
      <c r="A242" s="4">
        <v>5.553957443E9</v>
      </c>
      <c r="B242" s="10">
        <v>42484.0</v>
      </c>
      <c r="C242" s="4" t="str">
        <f t="shared" si="1"/>
        <v>555395744342484</v>
      </c>
      <c r="D242" s="4">
        <v>2.0</v>
      </c>
      <c r="E242" s="4">
        <v>553.0</v>
      </c>
      <c r="F242" s="11">
        <f t="shared" si="2"/>
        <v>0.3840277778</v>
      </c>
      <c r="G242" s="4">
        <v>640.0</v>
      </c>
      <c r="H242" s="11">
        <f t="shared" si="3"/>
        <v>0.4444444444</v>
      </c>
      <c r="I242" s="12">
        <f t="shared" si="4"/>
        <v>0.8640625</v>
      </c>
      <c r="J242" s="13" t="str">
        <f t="shared" si="5"/>
        <v>HIGH</v>
      </c>
    </row>
    <row r="243">
      <c r="A243" s="4">
        <v>5.553957443E9</v>
      </c>
      <c r="B243" s="10">
        <v>42485.0</v>
      </c>
      <c r="C243" s="4" t="str">
        <f t="shared" si="1"/>
        <v>555395744342485</v>
      </c>
      <c r="D243" s="4">
        <v>1.0</v>
      </c>
      <c r="E243" s="4">
        <v>433.0</v>
      </c>
      <c r="F243" s="11">
        <f t="shared" si="2"/>
        <v>0.3006944444</v>
      </c>
      <c r="G243" s="4">
        <v>468.0</v>
      </c>
      <c r="H243" s="11">
        <f t="shared" si="3"/>
        <v>0.325</v>
      </c>
      <c r="I243" s="12">
        <f t="shared" si="4"/>
        <v>0.9252136752</v>
      </c>
      <c r="J243" s="13" t="str">
        <f t="shared" si="5"/>
        <v>OK</v>
      </c>
    </row>
    <row r="244">
      <c r="A244" s="4">
        <v>5.553957443E9</v>
      </c>
      <c r="B244" s="10">
        <v>42486.0</v>
      </c>
      <c r="C244" s="4" t="str">
        <f t="shared" si="1"/>
        <v>555395744342486</v>
      </c>
      <c r="D244" s="4">
        <v>1.0</v>
      </c>
      <c r="E244" s="4">
        <v>412.0</v>
      </c>
      <c r="F244" s="11">
        <f t="shared" si="2"/>
        <v>0.2861111111</v>
      </c>
      <c r="G244" s="4">
        <v>453.0</v>
      </c>
      <c r="H244" s="11">
        <f t="shared" si="3"/>
        <v>0.3145833333</v>
      </c>
      <c r="I244" s="12">
        <f t="shared" si="4"/>
        <v>0.9094922737</v>
      </c>
      <c r="J244" s="13" t="str">
        <f t="shared" si="5"/>
        <v>OK</v>
      </c>
    </row>
    <row r="245">
      <c r="A245" s="4">
        <v>5.553957443E9</v>
      </c>
      <c r="B245" s="10">
        <v>42487.0</v>
      </c>
      <c r="C245" s="4" t="str">
        <f t="shared" si="1"/>
        <v>555395744342487</v>
      </c>
      <c r="D245" s="4">
        <v>1.0</v>
      </c>
      <c r="E245" s="4">
        <v>347.0</v>
      </c>
      <c r="F245" s="11">
        <f t="shared" si="2"/>
        <v>0.2409722222</v>
      </c>
      <c r="G245" s="4">
        <v>391.0</v>
      </c>
      <c r="H245" s="11">
        <f t="shared" si="3"/>
        <v>0.2715277778</v>
      </c>
      <c r="I245" s="12">
        <f t="shared" si="4"/>
        <v>0.8874680307</v>
      </c>
      <c r="J245" s="13" t="str">
        <f t="shared" si="5"/>
        <v>LOW</v>
      </c>
    </row>
    <row r="246">
      <c r="A246" s="4">
        <v>5.553957443E9</v>
      </c>
      <c r="B246" s="10">
        <v>42488.0</v>
      </c>
      <c r="C246" s="4" t="str">
        <f t="shared" si="1"/>
        <v>555395744342488</v>
      </c>
      <c r="D246" s="4">
        <v>1.0</v>
      </c>
      <c r="E246" s="4">
        <v>421.0</v>
      </c>
      <c r="F246" s="11">
        <f t="shared" si="2"/>
        <v>0.2923611111</v>
      </c>
      <c r="G246" s="4">
        <v>457.0</v>
      </c>
      <c r="H246" s="11">
        <f t="shared" si="3"/>
        <v>0.3173611111</v>
      </c>
      <c r="I246" s="12">
        <f t="shared" si="4"/>
        <v>0.9212253829</v>
      </c>
      <c r="J246" s="13" t="str">
        <f t="shared" si="5"/>
        <v>OK</v>
      </c>
    </row>
    <row r="247">
      <c r="A247" s="4">
        <v>5.553957443E9</v>
      </c>
      <c r="B247" s="10">
        <v>42489.0</v>
      </c>
      <c r="C247" s="4" t="str">
        <f t="shared" si="1"/>
        <v>555395744342489</v>
      </c>
      <c r="D247" s="4">
        <v>1.0</v>
      </c>
      <c r="E247" s="4">
        <v>450.0</v>
      </c>
      <c r="F247" s="11">
        <f t="shared" si="2"/>
        <v>0.3125</v>
      </c>
      <c r="G247" s="4">
        <v>495.0</v>
      </c>
      <c r="H247" s="11">
        <f t="shared" si="3"/>
        <v>0.34375</v>
      </c>
      <c r="I247" s="12">
        <f t="shared" si="4"/>
        <v>0.9090909091</v>
      </c>
      <c r="J247" s="13" t="str">
        <f t="shared" si="5"/>
        <v>OK</v>
      </c>
    </row>
    <row r="248">
      <c r="A248" s="4">
        <v>5.553957443E9</v>
      </c>
      <c r="B248" s="10">
        <v>42490.0</v>
      </c>
      <c r="C248" s="4" t="str">
        <f t="shared" si="1"/>
        <v>555395744342490</v>
      </c>
      <c r="D248" s="4">
        <v>2.0</v>
      </c>
      <c r="E248" s="4">
        <v>775.0</v>
      </c>
      <c r="F248" s="11">
        <f t="shared" si="2"/>
        <v>0.5381944444</v>
      </c>
      <c r="G248" s="4">
        <v>843.0</v>
      </c>
      <c r="H248" s="11">
        <f t="shared" si="3"/>
        <v>0.5854166667</v>
      </c>
      <c r="I248" s="12">
        <f t="shared" si="4"/>
        <v>0.9193357058</v>
      </c>
      <c r="J248" s="13" t="str">
        <f t="shared" si="5"/>
        <v>HIGH</v>
      </c>
    </row>
    <row r="249">
      <c r="A249" s="4">
        <v>5.553957443E9</v>
      </c>
      <c r="B249" s="10">
        <v>42491.0</v>
      </c>
      <c r="C249" s="4" t="str">
        <f t="shared" si="1"/>
        <v>555395744342491</v>
      </c>
      <c r="D249" s="4">
        <v>2.0</v>
      </c>
      <c r="E249" s="4">
        <v>622.0</v>
      </c>
      <c r="F249" s="11">
        <f t="shared" si="2"/>
        <v>0.4319444444</v>
      </c>
      <c r="G249" s="4">
        <v>686.0</v>
      </c>
      <c r="H249" s="11">
        <f t="shared" si="3"/>
        <v>0.4763888889</v>
      </c>
      <c r="I249" s="12">
        <f t="shared" si="4"/>
        <v>0.9067055394</v>
      </c>
      <c r="J249" s="13" t="str">
        <f t="shared" si="5"/>
        <v>HIGH</v>
      </c>
    </row>
    <row r="250">
      <c r="A250" s="4">
        <v>5.553957443E9</v>
      </c>
      <c r="B250" s="10">
        <v>42492.0</v>
      </c>
      <c r="C250" s="4" t="str">
        <f t="shared" si="1"/>
        <v>555395744342492</v>
      </c>
      <c r="D250" s="4">
        <v>1.0</v>
      </c>
      <c r="E250" s="4">
        <v>409.0</v>
      </c>
      <c r="F250" s="11">
        <f t="shared" si="2"/>
        <v>0.2840277778</v>
      </c>
      <c r="G250" s="4">
        <v>471.0</v>
      </c>
      <c r="H250" s="11">
        <f t="shared" si="3"/>
        <v>0.3270833333</v>
      </c>
      <c r="I250" s="12">
        <f t="shared" si="4"/>
        <v>0.8683651805</v>
      </c>
      <c r="J250" s="13" t="str">
        <f t="shared" si="5"/>
        <v>OK</v>
      </c>
    </row>
    <row r="251">
      <c r="A251" s="4">
        <v>5.553957443E9</v>
      </c>
      <c r="B251" s="10">
        <v>42493.0</v>
      </c>
      <c r="C251" s="4" t="str">
        <f t="shared" si="1"/>
        <v>555395744342493</v>
      </c>
      <c r="D251" s="4">
        <v>1.0</v>
      </c>
      <c r="E251" s="4">
        <v>380.0</v>
      </c>
      <c r="F251" s="11">
        <f t="shared" si="2"/>
        <v>0.2638888889</v>
      </c>
      <c r="G251" s="4">
        <v>429.0</v>
      </c>
      <c r="H251" s="11">
        <f t="shared" si="3"/>
        <v>0.2979166667</v>
      </c>
      <c r="I251" s="12">
        <f t="shared" si="4"/>
        <v>0.8857808858</v>
      </c>
      <c r="J251" s="13" t="str">
        <f t="shared" si="5"/>
        <v>OK</v>
      </c>
    </row>
    <row r="252">
      <c r="A252" s="4">
        <v>5.553957443E9</v>
      </c>
      <c r="B252" s="10">
        <v>42494.0</v>
      </c>
      <c r="C252" s="4" t="str">
        <f t="shared" si="1"/>
        <v>555395744342494</v>
      </c>
      <c r="D252" s="4">
        <v>1.0</v>
      </c>
      <c r="E252" s="4">
        <v>447.0</v>
      </c>
      <c r="F252" s="11">
        <f t="shared" si="2"/>
        <v>0.3104166667</v>
      </c>
      <c r="G252" s="4">
        <v>470.0</v>
      </c>
      <c r="H252" s="11">
        <f t="shared" si="3"/>
        <v>0.3263888889</v>
      </c>
      <c r="I252" s="12">
        <f t="shared" si="4"/>
        <v>0.9510638298</v>
      </c>
      <c r="J252" s="13" t="str">
        <f t="shared" si="5"/>
        <v>OK</v>
      </c>
    </row>
    <row r="253">
      <c r="A253" s="4">
        <v>5.553957443E9</v>
      </c>
      <c r="B253" s="10">
        <v>42495.0</v>
      </c>
      <c r="C253" s="4" t="str">
        <f t="shared" si="1"/>
        <v>555395744342495</v>
      </c>
      <c r="D253" s="4">
        <v>1.0</v>
      </c>
      <c r="E253" s="4">
        <v>419.0</v>
      </c>
      <c r="F253" s="11">
        <f t="shared" si="2"/>
        <v>0.2909722222</v>
      </c>
      <c r="G253" s="4">
        <v>464.0</v>
      </c>
      <c r="H253" s="11">
        <f t="shared" si="3"/>
        <v>0.3222222222</v>
      </c>
      <c r="I253" s="12">
        <f t="shared" si="4"/>
        <v>0.9030172414</v>
      </c>
      <c r="J253" s="13" t="str">
        <f t="shared" si="5"/>
        <v>OK</v>
      </c>
    </row>
    <row r="254">
      <c r="A254" s="4">
        <v>5.553957443E9</v>
      </c>
      <c r="B254" s="10">
        <v>42496.0</v>
      </c>
      <c r="C254" s="4" t="str">
        <f t="shared" si="1"/>
        <v>555395744342496</v>
      </c>
      <c r="D254" s="4">
        <v>1.0</v>
      </c>
      <c r="E254" s="4">
        <v>400.0</v>
      </c>
      <c r="F254" s="11">
        <f t="shared" si="2"/>
        <v>0.2777777778</v>
      </c>
      <c r="G254" s="4">
        <v>434.0</v>
      </c>
      <c r="H254" s="11">
        <f t="shared" si="3"/>
        <v>0.3013888889</v>
      </c>
      <c r="I254" s="12">
        <f t="shared" si="4"/>
        <v>0.9216589862</v>
      </c>
      <c r="J254" s="13" t="str">
        <f t="shared" si="5"/>
        <v>OK</v>
      </c>
    </row>
    <row r="255">
      <c r="A255" s="4">
        <v>5.553957443E9</v>
      </c>
      <c r="B255" s="10">
        <v>42497.0</v>
      </c>
      <c r="C255" s="4" t="str">
        <f t="shared" si="1"/>
        <v>555395744342497</v>
      </c>
      <c r="D255" s="4">
        <v>1.0</v>
      </c>
      <c r="E255" s="4">
        <v>442.0</v>
      </c>
      <c r="F255" s="11">
        <f t="shared" si="2"/>
        <v>0.3069444444</v>
      </c>
      <c r="G255" s="4">
        <v>470.0</v>
      </c>
      <c r="H255" s="11">
        <f t="shared" si="3"/>
        <v>0.3263888889</v>
      </c>
      <c r="I255" s="12">
        <f t="shared" si="4"/>
        <v>0.9404255319</v>
      </c>
      <c r="J255" s="13" t="str">
        <f t="shared" si="5"/>
        <v>OK</v>
      </c>
    </row>
    <row r="256">
      <c r="A256" s="4">
        <v>5.553957443E9</v>
      </c>
      <c r="B256" s="10">
        <v>42498.0</v>
      </c>
      <c r="C256" s="4" t="str">
        <f t="shared" si="1"/>
        <v>555395744342498</v>
      </c>
      <c r="D256" s="4">
        <v>1.0</v>
      </c>
      <c r="E256" s="4">
        <v>568.0</v>
      </c>
      <c r="F256" s="11">
        <f t="shared" si="2"/>
        <v>0.3944444444</v>
      </c>
      <c r="G256" s="4">
        <v>608.0</v>
      </c>
      <c r="H256" s="11">
        <f t="shared" si="3"/>
        <v>0.4222222222</v>
      </c>
      <c r="I256" s="12">
        <f t="shared" si="4"/>
        <v>0.9342105263</v>
      </c>
      <c r="J256" s="13" t="str">
        <f t="shared" si="5"/>
        <v>HIGH</v>
      </c>
    </row>
    <row r="257">
      <c r="A257" s="4">
        <v>5.553957443E9</v>
      </c>
      <c r="B257" s="10">
        <v>42499.0</v>
      </c>
      <c r="C257" s="4" t="str">
        <f t="shared" si="1"/>
        <v>555395744342499</v>
      </c>
      <c r="D257" s="4">
        <v>1.0</v>
      </c>
      <c r="E257" s="4">
        <v>453.0</v>
      </c>
      <c r="F257" s="11">
        <f t="shared" si="2"/>
        <v>0.3145833333</v>
      </c>
      <c r="G257" s="4">
        <v>494.0</v>
      </c>
      <c r="H257" s="11">
        <f t="shared" si="3"/>
        <v>0.3430555556</v>
      </c>
      <c r="I257" s="12">
        <f t="shared" si="4"/>
        <v>0.9170040486</v>
      </c>
      <c r="J257" s="13" t="str">
        <f t="shared" si="5"/>
        <v>OK</v>
      </c>
    </row>
    <row r="258">
      <c r="A258" s="4">
        <v>5.553957443E9</v>
      </c>
      <c r="B258" s="10">
        <v>42500.0</v>
      </c>
      <c r="C258" s="4" t="str">
        <f t="shared" si="1"/>
        <v>555395744342500</v>
      </c>
      <c r="D258" s="4">
        <v>1.0</v>
      </c>
      <c r="E258" s="4">
        <v>418.0</v>
      </c>
      <c r="F258" s="11">
        <f t="shared" si="2"/>
        <v>0.2902777778</v>
      </c>
      <c r="G258" s="4">
        <v>443.0</v>
      </c>
      <c r="H258" s="11">
        <f t="shared" si="3"/>
        <v>0.3076388889</v>
      </c>
      <c r="I258" s="12">
        <f t="shared" si="4"/>
        <v>0.9435665914</v>
      </c>
      <c r="J258" s="13" t="str">
        <f t="shared" si="5"/>
        <v>OK</v>
      </c>
    </row>
    <row r="259">
      <c r="A259" s="4">
        <v>5.553957443E9</v>
      </c>
      <c r="B259" s="10">
        <v>42501.0</v>
      </c>
      <c r="C259" s="4" t="str">
        <f t="shared" si="1"/>
        <v>555395744342501</v>
      </c>
      <c r="D259" s="4">
        <v>1.0</v>
      </c>
      <c r="E259" s="4">
        <v>463.0</v>
      </c>
      <c r="F259" s="11">
        <f t="shared" si="2"/>
        <v>0.3215277778</v>
      </c>
      <c r="G259" s="4">
        <v>486.0</v>
      </c>
      <c r="H259" s="11">
        <f t="shared" si="3"/>
        <v>0.3375</v>
      </c>
      <c r="I259" s="12">
        <f t="shared" si="4"/>
        <v>0.9526748971</v>
      </c>
      <c r="J259" s="13" t="str">
        <f t="shared" si="5"/>
        <v>OK</v>
      </c>
    </row>
    <row r="260">
      <c r="A260" s="4">
        <v>5.553957443E9</v>
      </c>
      <c r="B260" s="10">
        <v>42502.0</v>
      </c>
      <c r="C260" s="4" t="str">
        <f t="shared" si="1"/>
        <v>555395744342502</v>
      </c>
      <c r="D260" s="4">
        <v>1.0</v>
      </c>
      <c r="E260" s="4">
        <v>438.0</v>
      </c>
      <c r="F260" s="11">
        <f t="shared" si="2"/>
        <v>0.3041666667</v>
      </c>
      <c r="G260" s="4">
        <v>475.0</v>
      </c>
      <c r="H260" s="11">
        <f t="shared" si="3"/>
        <v>0.3298611111</v>
      </c>
      <c r="I260" s="12">
        <f t="shared" si="4"/>
        <v>0.9221052632</v>
      </c>
      <c r="J260" s="13" t="str">
        <f t="shared" si="5"/>
        <v>OK</v>
      </c>
    </row>
    <row r="261">
      <c r="A261" s="4">
        <v>5.577150313E9</v>
      </c>
      <c r="B261" s="10">
        <v>42472.0</v>
      </c>
      <c r="C261" s="4" t="str">
        <f t="shared" si="1"/>
        <v>557715031342472</v>
      </c>
      <c r="D261" s="4">
        <v>1.0</v>
      </c>
      <c r="E261" s="4">
        <v>419.0</v>
      </c>
      <c r="F261" s="11">
        <f t="shared" si="2"/>
        <v>0.2909722222</v>
      </c>
      <c r="G261" s="4">
        <v>438.0</v>
      </c>
      <c r="H261" s="11">
        <f t="shared" si="3"/>
        <v>0.3041666667</v>
      </c>
      <c r="I261" s="12">
        <f t="shared" si="4"/>
        <v>0.9566210046</v>
      </c>
      <c r="J261" s="13" t="str">
        <f t="shared" si="5"/>
        <v>OK</v>
      </c>
    </row>
    <row r="262">
      <c r="A262" s="4">
        <v>5.577150313E9</v>
      </c>
      <c r="B262" s="10">
        <v>42473.0</v>
      </c>
      <c r="C262" s="4" t="str">
        <f t="shared" si="1"/>
        <v>557715031342473</v>
      </c>
      <c r="D262" s="4">
        <v>1.0</v>
      </c>
      <c r="E262" s="4">
        <v>432.0</v>
      </c>
      <c r="F262" s="11">
        <f t="shared" si="2"/>
        <v>0.3</v>
      </c>
      <c r="G262" s="4">
        <v>458.0</v>
      </c>
      <c r="H262" s="11">
        <f t="shared" si="3"/>
        <v>0.3180555556</v>
      </c>
      <c r="I262" s="12">
        <f t="shared" si="4"/>
        <v>0.943231441</v>
      </c>
      <c r="J262" s="13" t="str">
        <f t="shared" si="5"/>
        <v>OK</v>
      </c>
    </row>
    <row r="263">
      <c r="A263" s="4">
        <v>5.577150313E9</v>
      </c>
      <c r="B263" s="10">
        <v>42474.0</v>
      </c>
      <c r="C263" s="4" t="str">
        <f t="shared" si="1"/>
        <v>557715031342474</v>
      </c>
      <c r="D263" s="4">
        <v>1.0</v>
      </c>
      <c r="E263" s="4">
        <v>477.0</v>
      </c>
      <c r="F263" s="11">
        <f t="shared" si="2"/>
        <v>0.33125</v>
      </c>
      <c r="G263" s="4">
        <v>497.0</v>
      </c>
      <c r="H263" s="11">
        <f t="shared" si="3"/>
        <v>0.3451388889</v>
      </c>
      <c r="I263" s="12">
        <f t="shared" si="4"/>
        <v>0.9597585513</v>
      </c>
      <c r="J263" s="13" t="str">
        <f t="shared" si="5"/>
        <v>OK</v>
      </c>
    </row>
    <row r="264">
      <c r="A264" s="4">
        <v>5.577150313E9</v>
      </c>
      <c r="B264" s="10">
        <v>42475.0</v>
      </c>
      <c r="C264" s="4" t="str">
        <f t="shared" si="1"/>
        <v>557715031342475</v>
      </c>
      <c r="D264" s="4">
        <v>1.0</v>
      </c>
      <c r="E264" s="4">
        <v>392.0</v>
      </c>
      <c r="F264" s="11">
        <f t="shared" si="2"/>
        <v>0.2722222222</v>
      </c>
      <c r="G264" s="4">
        <v>413.0</v>
      </c>
      <c r="H264" s="11">
        <f t="shared" si="3"/>
        <v>0.2868055556</v>
      </c>
      <c r="I264" s="12">
        <f t="shared" si="4"/>
        <v>0.9491525424</v>
      </c>
      <c r="J264" s="13" t="str">
        <f t="shared" si="5"/>
        <v>OK</v>
      </c>
    </row>
    <row r="265">
      <c r="A265" s="4">
        <v>5.577150313E9</v>
      </c>
      <c r="B265" s="10">
        <v>42476.0</v>
      </c>
      <c r="C265" s="4" t="str">
        <f t="shared" si="1"/>
        <v>557715031342476</v>
      </c>
      <c r="D265" s="4">
        <v>1.0</v>
      </c>
      <c r="E265" s="4">
        <v>406.0</v>
      </c>
      <c r="F265" s="11">
        <f t="shared" si="2"/>
        <v>0.2819444444</v>
      </c>
      <c r="G265" s="4">
        <v>445.0</v>
      </c>
      <c r="H265" s="11">
        <f t="shared" si="3"/>
        <v>0.3090277778</v>
      </c>
      <c r="I265" s="12">
        <f t="shared" si="4"/>
        <v>0.9123595506</v>
      </c>
      <c r="J265" s="13" t="str">
        <f t="shared" si="5"/>
        <v>OK</v>
      </c>
    </row>
    <row r="266">
      <c r="A266" s="4">
        <v>5.577150313E9</v>
      </c>
      <c r="B266" s="10">
        <v>42477.0</v>
      </c>
      <c r="C266" s="4" t="str">
        <f t="shared" si="1"/>
        <v>557715031342477</v>
      </c>
      <c r="D266" s="4">
        <v>1.0</v>
      </c>
      <c r="E266" s="4">
        <v>549.0</v>
      </c>
      <c r="F266" s="11">
        <f t="shared" si="2"/>
        <v>0.38125</v>
      </c>
      <c r="G266" s="4">
        <v>583.0</v>
      </c>
      <c r="H266" s="11">
        <f t="shared" si="3"/>
        <v>0.4048611111</v>
      </c>
      <c r="I266" s="12">
        <f t="shared" si="4"/>
        <v>0.9416809605</v>
      </c>
      <c r="J266" s="13" t="str">
        <f t="shared" si="5"/>
        <v>HIGH</v>
      </c>
    </row>
    <row r="267">
      <c r="A267" s="4">
        <v>5.577150313E9</v>
      </c>
      <c r="B267" s="10">
        <v>42478.0</v>
      </c>
      <c r="C267" s="4" t="str">
        <f t="shared" si="1"/>
        <v>557715031342478</v>
      </c>
      <c r="D267" s="4">
        <v>1.0</v>
      </c>
      <c r="E267" s="4">
        <v>527.0</v>
      </c>
      <c r="F267" s="11">
        <f t="shared" si="2"/>
        <v>0.3659722222</v>
      </c>
      <c r="G267" s="4">
        <v>553.0</v>
      </c>
      <c r="H267" s="11">
        <f t="shared" si="3"/>
        <v>0.3840277778</v>
      </c>
      <c r="I267" s="12">
        <f t="shared" si="4"/>
        <v>0.9529837251</v>
      </c>
      <c r="J267" s="13" t="str">
        <f t="shared" si="5"/>
        <v>HIGH</v>
      </c>
    </row>
    <row r="268">
      <c r="A268" s="4">
        <v>5.577150313E9</v>
      </c>
      <c r="B268" s="10">
        <v>42479.0</v>
      </c>
      <c r="C268" s="4" t="str">
        <f t="shared" si="1"/>
        <v>557715031342479</v>
      </c>
      <c r="D268" s="4">
        <v>1.0</v>
      </c>
      <c r="E268" s="4">
        <v>449.0</v>
      </c>
      <c r="F268" s="11">
        <f t="shared" si="2"/>
        <v>0.3118055556</v>
      </c>
      <c r="G268" s="4">
        <v>465.0</v>
      </c>
      <c r="H268" s="11">
        <f t="shared" si="3"/>
        <v>0.3229166667</v>
      </c>
      <c r="I268" s="12">
        <f t="shared" si="4"/>
        <v>0.9655913978</v>
      </c>
      <c r="J268" s="13" t="str">
        <f t="shared" si="5"/>
        <v>OK</v>
      </c>
    </row>
    <row r="269">
      <c r="A269" s="4">
        <v>5.577150313E9</v>
      </c>
      <c r="B269" s="10">
        <v>42480.0</v>
      </c>
      <c r="C269" s="4" t="str">
        <f t="shared" si="1"/>
        <v>557715031342480</v>
      </c>
      <c r="D269" s="4">
        <v>1.0</v>
      </c>
      <c r="E269" s="4">
        <v>447.0</v>
      </c>
      <c r="F269" s="11">
        <f t="shared" si="2"/>
        <v>0.3104166667</v>
      </c>
      <c r="G269" s="4">
        <v>480.0</v>
      </c>
      <c r="H269" s="11">
        <f t="shared" si="3"/>
        <v>0.3333333333</v>
      </c>
      <c r="I269" s="12">
        <f t="shared" si="4"/>
        <v>0.93125</v>
      </c>
      <c r="J269" s="13" t="str">
        <f t="shared" si="5"/>
        <v>OK</v>
      </c>
    </row>
    <row r="270">
      <c r="A270" s="4">
        <v>5.577150313E9</v>
      </c>
      <c r="B270" s="10">
        <v>42481.0</v>
      </c>
      <c r="C270" s="4" t="str">
        <f t="shared" si="1"/>
        <v>557715031342481</v>
      </c>
      <c r="D270" s="4">
        <v>1.0</v>
      </c>
      <c r="E270" s="4">
        <v>414.0</v>
      </c>
      <c r="F270" s="11">
        <f t="shared" si="2"/>
        <v>0.2875</v>
      </c>
      <c r="G270" s="4">
        <v>437.0</v>
      </c>
      <c r="H270" s="11">
        <f t="shared" si="3"/>
        <v>0.3034722222</v>
      </c>
      <c r="I270" s="12">
        <f t="shared" si="4"/>
        <v>0.9473684211</v>
      </c>
      <c r="J270" s="13" t="str">
        <f t="shared" si="5"/>
        <v>OK</v>
      </c>
    </row>
    <row r="271">
      <c r="A271" s="4">
        <v>5.577150313E9</v>
      </c>
      <c r="B271" s="10">
        <v>42482.0</v>
      </c>
      <c r="C271" s="4" t="str">
        <f t="shared" si="1"/>
        <v>557715031342482</v>
      </c>
      <c r="D271" s="4">
        <v>1.0</v>
      </c>
      <c r="E271" s="4">
        <v>338.0</v>
      </c>
      <c r="F271" s="11">
        <f t="shared" si="2"/>
        <v>0.2347222222</v>
      </c>
      <c r="G271" s="4">
        <v>366.0</v>
      </c>
      <c r="H271" s="11">
        <f t="shared" si="3"/>
        <v>0.2541666667</v>
      </c>
      <c r="I271" s="12">
        <f t="shared" si="4"/>
        <v>0.9234972678</v>
      </c>
      <c r="J271" s="13" t="str">
        <f t="shared" si="5"/>
        <v>LOW</v>
      </c>
    </row>
    <row r="272">
      <c r="A272" s="4">
        <v>5.577150313E9</v>
      </c>
      <c r="B272" s="10">
        <v>42483.0</v>
      </c>
      <c r="C272" s="4" t="str">
        <f t="shared" si="1"/>
        <v>557715031342483</v>
      </c>
      <c r="D272" s="4">
        <v>1.0</v>
      </c>
      <c r="E272" s="4">
        <v>384.0</v>
      </c>
      <c r="F272" s="11">
        <f t="shared" si="2"/>
        <v>0.2666666667</v>
      </c>
      <c r="G272" s="4">
        <v>402.0</v>
      </c>
      <c r="H272" s="11">
        <f t="shared" si="3"/>
        <v>0.2791666667</v>
      </c>
      <c r="I272" s="12">
        <f t="shared" si="4"/>
        <v>0.9552238806</v>
      </c>
      <c r="J272" s="13" t="str">
        <f t="shared" si="5"/>
        <v>OK</v>
      </c>
    </row>
    <row r="273">
      <c r="A273" s="4">
        <v>5.577150313E9</v>
      </c>
      <c r="B273" s="10">
        <v>42484.0</v>
      </c>
      <c r="C273" s="4" t="str">
        <f t="shared" si="1"/>
        <v>557715031342484</v>
      </c>
      <c r="D273" s="4">
        <v>1.0</v>
      </c>
      <c r="E273" s="4">
        <v>543.0</v>
      </c>
      <c r="F273" s="11">
        <f t="shared" si="2"/>
        <v>0.3770833333</v>
      </c>
      <c r="G273" s="4">
        <v>615.0</v>
      </c>
      <c r="H273" s="11">
        <f t="shared" si="3"/>
        <v>0.4270833333</v>
      </c>
      <c r="I273" s="12">
        <f t="shared" si="4"/>
        <v>0.8829268293</v>
      </c>
      <c r="J273" s="13" t="str">
        <f t="shared" si="5"/>
        <v>HIGH</v>
      </c>
    </row>
    <row r="274">
      <c r="A274" s="4">
        <v>5.577150313E9</v>
      </c>
      <c r="B274" s="10">
        <v>42485.0</v>
      </c>
      <c r="C274" s="4" t="str">
        <f t="shared" si="1"/>
        <v>557715031342485</v>
      </c>
      <c r="D274" s="4">
        <v>1.0</v>
      </c>
      <c r="E274" s="4">
        <v>421.0</v>
      </c>
      <c r="F274" s="11">
        <f t="shared" si="2"/>
        <v>0.2923611111</v>
      </c>
      <c r="G274" s="4">
        <v>461.0</v>
      </c>
      <c r="H274" s="11">
        <f t="shared" si="3"/>
        <v>0.3201388889</v>
      </c>
      <c r="I274" s="12">
        <f t="shared" si="4"/>
        <v>0.9132321041</v>
      </c>
      <c r="J274" s="13" t="str">
        <f t="shared" si="5"/>
        <v>OK</v>
      </c>
    </row>
    <row r="275">
      <c r="A275" s="4">
        <v>5.577150313E9</v>
      </c>
      <c r="B275" s="10">
        <v>42486.0</v>
      </c>
      <c r="C275" s="4" t="str">
        <f t="shared" si="1"/>
        <v>557715031342486</v>
      </c>
      <c r="D275" s="4">
        <v>1.0</v>
      </c>
      <c r="E275" s="4">
        <v>354.0</v>
      </c>
      <c r="F275" s="11">
        <f t="shared" si="2"/>
        <v>0.2458333333</v>
      </c>
      <c r="G275" s="4">
        <v>377.0</v>
      </c>
      <c r="H275" s="11">
        <f t="shared" si="3"/>
        <v>0.2618055556</v>
      </c>
      <c r="I275" s="12">
        <f t="shared" si="4"/>
        <v>0.9389920424</v>
      </c>
      <c r="J275" s="13" t="str">
        <f t="shared" si="5"/>
        <v>LOW</v>
      </c>
    </row>
    <row r="276">
      <c r="A276" s="4">
        <v>5.577150313E9</v>
      </c>
      <c r="B276" s="10">
        <v>42487.0</v>
      </c>
      <c r="C276" s="4" t="str">
        <f t="shared" si="1"/>
        <v>557715031342487</v>
      </c>
      <c r="D276" s="4">
        <v>1.0</v>
      </c>
      <c r="E276" s="4">
        <v>424.0</v>
      </c>
      <c r="F276" s="11">
        <f t="shared" si="2"/>
        <v>0.2944444444</v>
      </c>
      <c r="G276" s="4">
        <v>452.0</v>
      </c>
      <c r="H276" s="11">
        <f t="shared" si="3"/>
        <v>0.3138888889</v>
      </c>
      <c r="I276" s="12">
        <f t="shared" si="4"/>
        <v>0.9380530973</v>
      </c>
      <c r="J276" s="13" t="str">
        <f t="shared" si="5"/>
        <v>OK</v>
      </c>
    </row>
    <row r="277">
      <c r="A277" s="4">
        <v>5.577150313E9</v>
      </c>
      <c r="B277" s="10">
        <v>42488.0</v>
      </c>
      <c r="C277" s="4" t="str">
        <f t="shared" si="1"/>
        <v>557715031342488</v>
      </c>
      <c r="D277" s="4">
        <v>1.0</v>
      </c>
      <c r="E277" s="4">
        <v>361.0</v>
      </c>
      <c r="F277" s="11">
        <f t="shared" si="2"/>
        <v>0.2506944444</v>
      </c>
      <c r="G277" s="4">
        <v>372.0</v>
      </c>
      <c r="H277" s="11">
        <f t="shared" si="3"/>
        <v>0.2583333333</v>
      </c>
      <c r="I277" s="12">
        <f t="shared" si="4"/>
        <v>0.9704301075</v>
      </c>
      <c r="J277" s="13" t="str">
        <f t="shared" si="5"/>
        <v>OK</v>
      </c>
    </row>
    <row r="278">
      <c r="A278" s="4">
        <v>5.577150313E9</v>
      </c>
      <c r="B278" s="10">
        <v>42489.0</v>
      </c>
      <c r="C278" s="4" t="str">
        <f t="shared" si="1"/>
        <v>557715031342489</v>
      </c>
      <c r="D278" s="4">
        <v>1.0</v>
      </c>
      <c r="E278" s="4">
        <v>459.0</v>
      </c>
      <c r="F278" s="11">
        <f t="shared" si="2"/>
        <v>0.31875</v>
      </c>
      <c r="G278" s="4">
        <v>485.0</v>
      </c>
      <c r="H278" s="11">
        <f t="shared" si="3"/>
        <v>0.3368055556</v>
      </c>
      <c r="I278" s="12">
        <f t="shared" si="4"/>
        <v>0.9463917526</v>
      </c>
      <c r="J278" s="13" t="str">
        <f t="shared" si="5"/>
        <v>OK</v>
      </c>
    </row>
    <row r="279">
      <c r="A279" s="4">
        <v>5.577150313E9</v>
      </c>
      <c r="B279" s="10">
        <v>42490.0</v>
      </c>
      <c r="C279" s="4" t="str">
        <f t="shared" si="1"/>
        <v>557715031342490</v>
      </c>
      <c r="D279" s="4">
        <v>1.0</v>
      </c>
      <c r="E279" s="4">
        <v>412.0</v>
      </c>
      <c r="F279" s="11">
        <f t="shared" si="2"/>
        <v>0.2861111111</v>
      </c>
      <c r="G279" s="4">
        <v>433.0</v>
      </c>
      <c r="H279" s="11">
        <f t="shared" si="3"/>
        <v>0.3006944444</v>
      </c>
      <c r="I279" s="12">
        <f t="shared" si="4"/>
        <v>0.9515011547</v>
      </c>
      <c r="J279" s="13" t="str">
        <f t="shared" si="5"/>
        <v>OK</v>
      </c>
    </row>
    <row r="280">
      <c r="A280" s="4">
        <v>5.577150313E9</v>
      </c>
      <c r="B280" s="10">
        <v>42491.0</v>
      </c>
      <c r="C280" s="4" t="str">
        <f t="shared" si="1"/>
        <v>557715031342491</v>
      </c>
      <c r="D280" s="4">
        <v>1.0</v>
      </c>
      <c r="E280" s="4">
        <v>379.0</v>
      </c>
      <c r="F280" s="11">
        <f t="shared" si="2"/>
        <v>0.2631944444</v>
      </c>
      <c r="G280" s="4">
        <v>398.0</v>
      </c>
      <c r="H280" s="11">
        <f t="shared" si="3"/>
        <v>0.2763888889</v>
      </c>
      <c r="I280" s="12">
        <f t="shared" si="4"/>
        <v>0.9522613065</v>
      </c>
      <c r="J280" s="13" t="str">
        <f t="shared" si="5"/>
        <v>OK</v>
      </c>
    </row>
    <row r="281">
      <c r="A281" s="4">
        <v>5.577150313E9</v>
      </c>
      <c r="B281" s="10">
        <v>42492.0</v>
      </c>
      <c r="C281" s="4" t="str">
        <f t="shared" si="1"/>
        <v>557715031342492</v>
      </c>
      <c r="D281" s="4">
        <v>2.0</v>
      </c>
      <c r="E281" s="4">
        <v>525.0</v>
      </c>
      <c r="F281" s="11">
        <f t="shared" si="2"/>
        <v>0.3645833333</v>
      </c>
      <c r="G281" s="4">
        <v>553.0</v>
      </c>
      <c r="H281" s="11">
        <f t="shared" si="3"/>
        <v>0.3840277778</v>
      </c>
      <c r="I281" s="12">
        <f t="shared" si="4"/>
        <v>0.9493670886</v>
      </c>
      <c r="J281" s="13" t="str">
        <f t="shared" si="5"/>
        <v>HIGH</v>
      </c>
    </row>
    <row r="282">
      <c r="A282" s="4">
        <v>5.577150313E9</v>
      </c>
      <c r="B282" s="10">
        <v>42493.0</v>
      </c>
      <c r="C282" s="4" t="str">
        <f t="shared" si="1"/>
        <v>557715031342493</v>
      </c>
      <c r="D282" s="4">
        <v>1.0</v>
      </c>
      <c r="E282" s="4">
        <v>508.0</v>
      </c>
      <c r="F282" s="11">
        <f t="shared" si="2"/>
        <v>0.3527777778</v>
      </c>
      <c r="G282" s="4">
        <v>543.0</v>
      </c>
      <c r="H282" s="11">
        <f t="shared" si="3"/>
        <v>0.3770833333</v>
      </c>
      <c r="I282" s="12">
        <f t="shared" si="4"/>
        <v>0.9355432781</v>
      </c>
      <c r="J282" s="13" t="str">
        <f t="shared" si="5"/>
        <v>HIGH</v>
      </c>
    </row>
    <row r="283">
      <c r="A283" s="4">
        <v>5.577150313E9</v>
      </c>
      <c r="B283" s="10">
        <v>42494.0</v>
      </c>
      <c r="C283" s="4" t="str">
        <f t="shared" si="1"/>
        <v>557715031342494</v>
      </c>
      <c r="D283" s="4">
        <v>1.0</v>
      </c>
      <c r="E283" s="4">
        <v>603.0</v>
      </c>
      <c r="F283" s="11">
        <f t="shared" si="2"/>
        <v>0.41875</v>
      </c>
      <c r="G283" s="4">
        <v>634.0</v>
      </c>
      <c r="H283" s="11">
        <f t="shared" si="3"/>
        <v>0.4402777778</v>
      </c>
      <c r="I283" s="12">
        <f t="shared" si="4"/>
        <v>0.9511041009</v>
      </c>
      <c r="J283" s="13" t="str">
        <f t="shared" si="5"/>
        <v>HIGH</v>
      </c>
    </row>
    <row r="284">
      <c r="A284" s="4">
        <v>5.577150313E9</v>
      </c>
      <c r="B284" s="10">
        <v>42495.0</v>
      </c>
      <c r="C284" s="4" t="str">
        <f t="shared" si="1"/>
        <v>557715031342495</v>
      </c>
      <c r="D284" s="4">
        <v>1.0</v>
      </c>
      <c r="E284" s="4">
        <v>74.0</v>
      </c>
      <c r="F284" s="11">
        <f t="shared" si="2"/>
        <v>0.05138888889</v>
      </c>
      <c r="G284" s="4">
        <v>78.0</v>
      </c>
      <c r="H284" s="11">
        <f t="shared" si="3"/>
        <v>0.05416666667</v>
      </c>
      <c r="I284" s="12">
        <f t="shared" si="4"/>
        <v>0.9487179487</v>
      </c>
      <c r="J284" s="13" t="str">
        <f t="shared" si="5"/>
        <v>LOW</v>
      </c>
    </row>
    <row r="285">
      <c r="A285" s="4">
        <v>5.577150313E9</v>
      </c>
      <c r="B285" s="10">
        <v>42500.0</v>
      </c>
      <c r="C285" s="4" t="str">
        <f t="shared" si="1"/>
        <v>557715031342500</v>
      </c>
      <c r="D285" s="4">
        <v>1.0</v>
      </c>
      <c r="E285" s="4">
        <v>504.0</v>
      </c>
      <c r="F285" s="11">
        <f t="shared" si="2"/>
        <v>0.35</v>
      </c>
      <c r="G285" s="4">
        <v>562.0</v>
      </c>
      <c r="H285" s="11">
        <f t="shared" si="3"/>
        <v>0.3902777778</v>
      </c>
      <c r="I285" s="12">
        <f t="shared" si="4"/>
        <v>0.896797153</v>
      </c>
      <c r="J285" s="13" t="str">
        <f t="shared" si="5"/>
        <v>HIGH</v>
      </c>
    </row>
    <row r="286">
      <c r="A286" s="4">
        <v>5.577150313E9</v>
      </c>
      <c r="B286" s="10">
        <v>42501.0</v>
      </c>
      <c r="C286" s="4" t="str">
        <f t="shared" si="1"/>
        <v>557715031342501</v>
      </c>
      <c r="D286" s="4">
        <v>1.0</v>
      </c>
      <c r="E286" s="4">
        <v>431.0</v>
      </c>
      <c r="F286" s="11">
        <f t="shared" si="2"/>
        <v>0.2993055556</v>
      </c>
      <c r="G286" s="4">
        <v>476.0</v>
      </c>
      <c r="H286" s="11">
        <f t="shared" si="3"/>
        <v>0.3305555556</v>
      </c>
      <c r="I286" s="12">
        <f t="shared" si="4"/>
        <v>0.9054621849</v>
      </c>
      <c r="J286" s="13" t="str">
        <f t="shared" si="5"/>
        <v>OK</v>
      </c>
    </row>
    <row r="287">
      <c r="A287" s="4">
        <v>6.11766616E9</v>
      </c>
      <c r="B287" s="10">
        <v>42476.0</v>
      </c>
      <c r="C287" s="4" t="str">
        <f t="shared" si="1"/>
        <v>611766616042476</v>
      </c>
      <c r="D287" s="4">
        <v>1.0</v>
      </c>
      <c r="E287" s="4">
        <v>380.0</v>
      </c>
      <c r="F287" s="11">
        <f t="shared" si="2"/>
        <v>0.2638888889</v>
      </c>
      <c r="G287" s="4">
        <v>398.0</v>
      </c>
      <c r="H287" s="11">
        <f t="shared" si="3"/>
        <v>0.2763888889</v>
      </c>
      <c r="I287" s="12">
        <f t="shared" si="4"/>
        <v>0.9547738693</v>
      </c>
      <c r="J287" s="13" t="str">
        <f t="shared" si="5"/>
        <v>OK</v>
      </c>
    </row>
    <row r="288">
      <c r="A288" s="4">
        <v>6.11766616E9</v>
      </c>
      <c r="B288" s="10">
        <v>42477.0</v>
      </c>
      <c r="C288" s="4" t="str">
        <f t="shared" si="1"/>
        <v>611766616042477</v>
      </c>
      <c r="D288" s="4">
        <v>2.0</v>
      </c>
      <c r="E288" s="4">
        <v>336.0</v>
      </c>
      <c r="F288" s="11">
        <f t="shared" si="2"/>
        <v>0.2333333333</v>
      </c>
      <c r="G288" s="4">
        <v>350.0</v>
      </c>
      <c r="H288" s="11">
        <f t="shared" si="3"/>
        <v>0.2430555556</v>
      </c>
      <c r="I288" s="12">
        <f t="shared" si="4"/>
        <v>0.96</v>
      </c>
      <c r="J288" s="13" t="str">
        <f t="shared" si="5"/>
        <v>LOW</v>
      </c>
    </row>
    <row r="289">
      <c r="A289" s="4">
        <v>6.11766616E9</v>
      </c>
      <c r="B289" s="10">
        <v>42478.0</v>
      </c>
      <c r="C289" s="4" t="str">
        <f t="shared" si="1"/>
        <v>611766616042478</v>
      </c>
      <c r="D289" s="4">
        <v>2.0</v>
      </c>
      <c r="E289" s="4">
        <v>493.0</v>
      </c>
      <c r="F289" s="11">
        <f t="shared" si="2"/>
        <v>0.3423611111</v>
      </c>
      <c r="G289" s="4">
        <v>510.0</v>
      </c>
      <c r="H289" s="11">
        <f t="shared" si="3"/>
        <v>0.3541666667</v>
      </c>
      <c r="I289" s="12">
        <f t="shared" si="4"/>
        <v>0.9666666667</v>
      </c>
      <c r="J289" s="13" t="str">
        <f t="shared" si="5"/>
        <v>HIGH</v>
      </c>
    </row>
    <row r="290">
      <c r="A290" s="4">
        <v>6.11766616E9</v>
      </c>
      <c r="B290" s="10">
        <v>42479.0</v>
      </c>
      <c r="C290" s="4" t="str">
        <f t="shared" si="1"/>
        <v>611766616042479</v>
      </c>
      <c r="D290" s="4">
        <v>1.0</v>
      </c>
      <c r="E290" s="4">
        <v>465.0</v>
      </c>
      <c r="F290" s="11">
        <f t="shared" si="2"/>
        <v>0.3229166667</v>
      </c>
      <c r="G290" s="4">
        <v>492.0</v>
      </c>
      <c r="H290" s="11">
        <f t="shared" si="3"/>
        <v>0.3416666667</v>
      </c>
      <c r="I290" s="12">
        <f t="shared" si="4"/>
        <v>0.9451219512</v>
      </c>
      <c r="J290" s="13" t="str">
        <f t="shared" si="5"/>
        <v>OK</v>
      </c>
    </row>
    <row r="291">
      <c r="A291" s="4">
        <v>6.11766616E9</v>
      </c>
      <c r="B291" s="10">
        <v>42480.0</v>
      </c>
      <c r="C291" s="4" t="str">
        <f t="shared" si="1"/>
        <v>611766616042480</v>
      </c>
      <c r="D291" s="4">
        <v>1.0</v>
      </c>
      <c r="E291" s="4">
        <v>474.0</v>
      </c>
      <c r="F291" s="11">
        <f t="shared" si="2"/>
        <v>0.3291666667</v>
      </c>
      <c r="G291" s="4">
        <v>502.0</v>
      </c>
      <c r="H291" s="11">
        <f t="shared" si="3"/>
        <v>0.3486111111</v>
      </c>
      <c r="I291" s="12">
        <f t="shared" si="4"/>
        <v>0.9442231076</v>
      </c>
      <c r="J291" s="13" t="str">
        <f t="shared" si="5"/>
        <v>OK</v>
      </c>
    </row>
    <row r="292">
      <c r="A292" s="4">
        <v>6.11766616E9</v>
      </c>
      <c r="B292" s="10">
        <v>42481.0</v>
      </c>
      <c r="C292" s="4" t="str">
        <f t="shared" si="1"/>
        <v>611766616042481</v>
      </c>
      <c r="D292" s="4">
        <v>1.0</v>
      </c>
      <c r="E292" s="4">
        <v>508.0</v>
      </c>
      <c r="F292" s="11">
        <f t="shared" si="2"/>
        <v>0.3527777778</v>
      </c>
      <c r="G292" s="4">
        <v>550.0</v>
      </c>
      <c r="H292" s="11">
        <f t="shared" si="3"/>
        <v>0.3819444444</v>
      </c>
      <c r="I292" s="12">
        <f t="shared" si="4"/>
        <v>0.9236363636</v>
      </c>
      <c r="J292" s="13" t="str">
        <f t="shared" si="5"/>
        <v>HIGH</v>
      </c>
    </row>
    <row r="293">
      <c r="A293" s="4">
        <v>6.11766616E9</v>
      </c>
      <c r="B293" s="10">
        <v>42482.0</v>
      </c>
      <c r="C293" s="4" t="str">
        <f t="shared" si="1"/>
        <v>611766616042482</v>
      </c>
      <c r="D293" s="4">
        <v>1.0</v>
      </c>
      <c r="E293" s="4">
        <v>480.0</v>
      </c>
      <c r="F293" s="11">
        <f t="shared" si="2"/>
        <v>0.3333333333</v>
      </c>
      <c r="G293" s="4">
        <v>546.0</v>
      </c>
      <c r="H293" s="11">
        <f t="shared" si="3"/>
        <v>0.3791666667</v>
      </c>
      <c r="I293" s="12">
        <f t="shared" si="4"/>
        <v>0.8791208791</v>
      </c>
      <c r="J293" s="13" t="str">
        <f t="shared" si="5"/>
        <v>HIGH</v>
      </c>
    </row>
    <row r="294">
      <c r="A294" s="4">
        <v>6.11766616E9</v>
      </c>
      <c r="B294" s="10">
        <v>42483.0</v>
      </c>
      <c r="C294" s="4" t="str">
        <f t="shared" si="1"/>
        <v>611766616042483</v>
      </c>
      <c r="D294" s="4">
        <v>1.0</v>
      </c>
      <c r="E294" s="4">
        <v>492.0</v>
      </c>
      <c r="F294" s="11">
        <f t="shared" si="2"/>
        <v>0.3416666667</v>
      </c>
      <c r="G294" s="4">
        <v>539.0</v>
      </c>
      <c r="H294" s="11">
        <f t="shared" si="3"/>
        <v>0.3743055556</v>
      </c>
      <c r="I294" s="12">
        <f t="shared" si="4"/>
        <v>0.9128014842</v>
      </c>
      <c r="J294" s="13" t="str">
        <f t="shared" si="5"/>
        <v>HIGH</v>
      </c>
    </row>
    <row r="295">
      <c r="A295" s="4">
        <v>6.11766616E9</v>
      </c>
      <c r="B295" s="10">
        <v>42484.0</v>
      </c>
      <c r="C295" s="4" t="str">
        <f t="shared" si="1"/>
        <v>611766616042484</v>
      </c>
      <c r="D295" s="4">
        <v>1.0</v>
      </c>
      <c r="E295" s="4">
        <v>353.0</v>
      </c>
      <c r="F295" s="11">
        <f t="shared" si="2"/>
        <v>0.2451388889</v>
      </c>
      <c r="G295" s="4">
        <v>367.0</v>
      </c>
      <c r="H295" s="11">
        <f t="shared" si="3"/>
        <v>0.2548611111</v>
      </c>
      <c r="I295" s="12">
        <f t="shared" si="4"/>
        <v>0.961852861</v>
      </c>
      <c r="J295" s="13" t="str">
        <f t="shared" si="5"/>
        <v>LOW</v>
      </c>
    </row>
    <row r="296">
      <c r="A296" s="4">
        <v>6.11766616E9</v>
      </c>
      <c r="B296" s="10">
        <v>42487.0</v>
      </c>
      <c r="C296" s="4" t="str">
        <f t="shared" si="1"/>
        <v>611766616042487</v>
      </c>
      <c r="D296" s="4">
        <v>1.0</v>
      </c>
      <c r="E296" s="4">
        <v>542.0</v>
      </c>
      <c r="F296" s="11">
        <f t="shared" si="2"/>
        <v>0.3763888889</v>
      </c>
      <c r="G296" s="4">
        <v>557.0</v>
      </c>
      <c r="H296" s="11">
        <f t="shared" si="3"/>
        <v>0.3868055556</v>
      </c>
      <c r="I296" s="12">
        <f t="shared" si="4"/>
        <v>0.973070018</v>
      </c>
      <c r="J296" s="13" t="str">
        <f t="shared" si="5"/>
        <v>HIGH</v>
      </c>
    </row>
    <row r="297">
      <c r="A297" s="4">
        <v>6.11766616E9</v>
      </c>
      <c r="B297" s="10">
        <v>42488.0</v>
      </c>
      <c r="C297" s="4" t="str">
        <f t="shared" si="1"/>
        <v>611766616042488</v>
      </c>
      <c r="D297" s="4">
        <v>1.0</v>
      </c>
      <c r="E297" s="4">
        <v>393.0</v>
      </c>
      <c r="F297" s="11">
        <f t="shared" si="2"/>
        <v>0.2729166667</v>
      </c>
      <c r="G297" s="4">
        <v>416.0</v>
      </c>
      <c r="H297" s="11">
        <f t="shared" si="3"/>
        <v>0.2888888889</v>
      </c>
      <c r="I297" s="12">
        <f t="shared" si="4"/>
        <v>0.9447115385</v>
      </c>
      <c r="J297" s="13" t="str">
        <f t="shared" si="5"/>
        <v>OK</v>
      </c>
    </row>
    <row r="298">
      <c r="A298" s="4">
        <v>6.11766616E9</v>
      </c>
      <c r="B298" s="10">
        <v>42489.0</v>
      </c>
      <c r="C298" s="4" t="str">
        <f t="shared" si="1"/>
        <v>611766616042489</v>
      </c>
      <c r="D298" s="4">
        <v>1.0</v>
      </c>
      <c r="E298" s="4">
        <v>600.0</v>
      </c>
      <c r="F298" s="11">
        <f t="shared" si="2"/>
        <v>0.4166666667</v>
      </c>
      <c r="G298" s="4">
        <v>636.0</v>
      </c>
      <c r="H298" s="11">
        <f t="shared" si="3"/>
        <v>0.4416666667</v>
      </c>
      <c r="I298" s="12">
        <f t="shared" si="4"/>
        <v>0.9433962264</v>
      </c>
      <c r="J298" s="13" t="str">
        <f t="shared" si="5"/>
        <v>HIGH</v>
      </c>
    </row>
    <row r="299">
      <c r="A299" s="4">
        <v>6.11766616E9</v>
      </c>
      <c r="B299" s="10">
        <v>42491.0</v>
      </c>
      <c r="C299" s="4" t="str">
        <f t="shared" si="1"/>
        <v>611766616042491</v>
      </c>
      <c r="D299" s="4">
        <v>1.0</v>
      </c>
      <c r="E299" s="4">
        <v>507.0</v>
      </c>
      <c r="F299" s="11">
        <f t="shared" si="2"/>
        <v>0.3520833333</v>
      </c>
      <c r="G299" s="4">
        <v>575.0</v>
      </c>
      <c r="H299" s="11">
        <f t="shared" si="3"/>
        <v>0.3993055556</v>
      </c>
      <c r="I299" s="12">
        <f t="shared" si="4"/>
        <v>0.8817391304</v>
      </c>
      <c r="J299" s="13" t="str">
        <f t="shared" si="5"/>
        <v>HIGH</v>
      </c>
    </row>
    <row r="300">
      <c r="A300" s="4">
        <v>6.11766616E9</v>
      </c>
      <c r="B300" s="10">
        <v>42495.0</v>
      </c>
      <c r="C300" s="4" t="str">
        <f t="shared" si="1"/>
        <v>611766616042495</v>
      </c>
      <c r="D300" s="4">
        <v>1.0</v>
      </c>
      <c r="E300" s="4">
        <v>392.0</v>
      </c>
      <c r="F300" s="11">
        <f t="shared" si="2"/>
        <v>0.2722222222</v>
      </c>
      <c r="G300" s="4">
        <v>415.0</v>
      </c>
      <c r="H300" s="11">
        <f t="shared" si="3"/>
        <v>0.2881944444</v>
      </c>
      <c r="I300" s="12">
        <f t="shared" si="4"/>
        <v>0.9445783133</v>
      </c>
      <c r="J300" s="13" t="str">
        <f t="shared" si="5"/>
        <v>OK</v>
      </c>
    </row>
    <row r="301">
      <c r="A301" s="4">
        <v>6.11766616E9</v>
      </c>
      <c r="B301" s="10">
        <v>42496.0</v>
      </c>
      <c r="C301" s="4" t="str">
        <f t="shared" si="1"/>
        <v>611766616042496</v>
      </c>
      <c r="D301" s="4">
        <v>2.0</v>
      </c>
      <c r="E301" s="4">
        <v>658.0</v>
      </c>
      <c r="F301" s="11">
        <f t="shared" si="2"/>
        <v>0.4569444444</v>
      </c>
      <c r="G301" s="4">
        <v>698.0</v>
      </c>
      <c r="H301" s="11">
        <f t="shared" si="3"/>
        <v>0.4847222222</v>
      </c>
      <c r="I301" s="12">
        <f t="shared" si="4"/>
        <v>0.9426934097</v>
      </c>
      <c r="J301" s="13" t="str">
        <f t="shared" si="5"/>
        <v>HIGH</v>
      </c>
    </row>
    <row r="302">
      <c r="A302" s="4">
        <v>6.11766616E9</v>
      </c>
      <c r="B302" s="10">
        <v>42497.0</v>
      </c>
      <c r="C302" s="4" t="str">
        <f t="shared" si="1"/>
        <v>611766616042497</v>
      </c>
      <c r="D302" s="4">
        <v>2.0</v>
      </c>
      <c r="E302" s="4">
        <v>498.0</v>
      </c>
      <c r="F302" s="11">
        <f t="shared" si="2"/>
        <v>0.3458333333</v>
      </c>
      <c r="G302" s="4">
        <v>507.0</v>
      </c>
      <c r="H302" s="11">
        <f t="shared" si="3"/>
        <v>0.3520833333</v>
      </c>
      <c r="I302" s="12">
        <f t="shared" si="4"/>
        <v>0.9822485207</v>
      </c>
      <c r="J302" s="13" t="str">
        <f t="shared" si="5"/>
        <v>HIGH</v>
      </c>
    </row>
    <row r="303">
      <c r="A303" s="4">
        <v>6.11766616E9</v>
      </c>
      <c r="B303" s="10">
        <v>42498.0</v>
      </c>
      <c r="C303" s="4" t="str">
        <f t="shared" si="1"/>
        <v>611766616042498</v>
      </c>
      <c r="D303" s="4">
        <v>1.0</v>
      </c>
      <c r="E303" s="4">
        <v>555.0</v>
      </c>
      <c r="F303" s="11">
        <f t="shared" si="2"/>
        <v>0.3854166667</v>
      </c>
      <c r="G303" s="4">
        <v>603.0</v>
      </c>
      <c r="H303" s="11">
        <f t="shared" si="3"/>
        <v>0.41875</v>
      </c>
      <c r="I303" s="12">
        <f t="shared" si="4"/>
        <v>0.92039801</v>
      </c>
      <c r="J303" s="13" t="str">
        <f t="shared" si="5"/>
        <v>HIGH</v>
      </c>
    </row>
    <row r="304">
      <c r="A304" s="4">
        <v>6.11766616E9</v>
      </c>
      <c r="B304" s="10">
        <v>42499.0</v>
      </c>
      <c r="C304" s="4" t="str">
        <f t="shared" si="1"/>
        <v>611766616042499</v>
      </c>
      <c r="D304" s="4">
        <v>1.0</v>
      </c>
      <c r="E304" s="4">
        <v>492.0</v>
      </c>
      <c r="F304" s="11">
        <f t="shared" si="2"/>
        <v>0.3416666667</v>
      </c>
      <c r="G304" s="4">
        <v>522.0</v>
      </c>
      <c r="H304" s="11">
        <f t="shared" si="3"/>
        <v>0.3625</v>
      </c>
      <c r="I304" s="12">
        <f t="shared" si="4"/>
        <v>0.9425287356</v>
      </c>
      <c r="J304" s="13" t="str">
        <f t="shared" si="5"/>
        <v>HIGH</v>
      </c>
    </row>
    <row r="305">
      <c r="A305" s="4">
        <v>6.775888955E9</v>
      </c>
      <c r="B305" s="10">
        <v>42473.0</v>
      </c>
      <c r="C305" s="4" t="str">
        <f t="shared" si="1"/>
        <v>677588895542473</v>
      </c>
      <c r="D305" s="4">
        <v>1.0</v>
      </c>
      <c r="E305" s="4">
        <v>235.0</v>
      </c>
      <c r="F305" s="11">
        <f t="shared" si="2"/>
        <v>0.1631944444</v>
      </c>
      <c r="G305" s="4">
        <v>260.0</v>
      </c>
      <c r="H305" s="11">
        <f t="shared" si="3"/>
        <v>0.1805555556</v>
      </c>
      <c r="I305" s="12">
        <f t="shared" si="4"/>
        <v>0.9038461538</v>
      </c>
      <c r="J305" s="13" t="str">
        <f t="shared" si="5"/>
        <v>LOW</v>
      </c>
    </row>
    <row r="306">
      <c r="A306" s="4">
        <v>6.775888955E9</v>
      </c>
      <c r="B306" s="10">
        <v>42474.0</v>
      </c>
      <c r="C306" s="4" t="str">
        <f t="shared" si="1"/>
        <v>677588895542474</v>
      </c>
      <c r="D306" s="4">
        <v>1.0</v>
      </c>
      <c r="E306" s="4">
        <v>423.0</v>
      </c>
      <c r="F306" s="11">
        <f t="shared" si="2"/>
        <v>0.29375</v>
      </c>
      <c r="G306" s="4">
        <v>441.0</v>
      </c>
      <c r="H306" s="11">
        <f t="shared" si="3"/>
        <v>0.30625</v>
      </c>
      <c r="I306" s="12">
        <f t="shared" si="4"/>
        <v>0.9591836735</v>
      </c>
      <c r="J306" s="13" t="str">
        <f t="shared" si="5"/>
        <v>OK</v>
      </c>
    </row>
    <row r="307">
      <c r="A307" s="4">
        <v>6.775888955E9</v>
      </c>
      <c r="B307" s="10">
        <v>42475.0</v>
      </c>
      <c r="C307" s="4" t="str">
        <f t="shared" si="1"/>
        <v>677588895542475</v>
      </c>
      <c r="D307" s="4">
        <v>1.0</v>
      </c>
      <c r="E307" s="4">
        <v>391.0</v>
      </c>
      <c r="F307" s="11">
        <f t="shared" si="2"/>
        <v>0.2715277778</v>
      </c>
      <c r="G307" s="4">
        <v>406.0</v>
      </c>
      <c r="H307" s="11">
        <f t="shared" si="3"/>
        <v>0.2819444444</v>
      </c>
      <c r="I307" s="12">
        <f t="shared" si="4"/>
        <v>0.9630541872</v>
      </c>
      <c r="J307" s="13" t="str">
        <f t="shared" si="5"/>
        <v>OK</v>
      </c>
    </row>
    <row r="308">
      <c r="A308" s="4">
        <v>6.962181067E9</v>
      </c>
      <c r="B308" s="10">
        <v>42472.0</v>
      </c>
      <c r="C308" s="4" t="str">
        <f t="shared" si="1"/>
        <v>696218106742472</v>
      </c>
      <c r="D308" s="4">
        <v>1.0</v>
      </c>
      <c r="E308" s="4">
        <v>366.0</v>
      </c>
      <c r="F308" s="11">
        <f t="shared" si="2"/>
        <v>0.2541666667</v>
      </c>
      <c r="G308" s="4">
        <v>387.0</v>
      </c>
      <c r="H308" s="11">
        <f t="shared" si="3"/>
        <v>0.26875</v>
      </c>
      <c r="I308" s="12">
        <f t="shared" si="4"/>
        <v>0.9457364341</v>
      </c>
      <c r="J308" s="13" t="str">
        <f t="shared" si="5"/>
        <v>OK</v>
      </c>
    </row>
    <row r="309">
      <c r="A309" s="4">
        <v>6.962181067E9</v>
      </c>
      <c r="B309" s="10">
        <v>42473.0</v>
      </c>
      <c r="C309" s="4" t="str">
        <f t="shared" si="1"/>
        <v>696218106742473</v>
      </c>
      <c r="D309" s="4">
        <v>3.0</v>
      </c>
      <c r="E309" s="4">
        <v>630.0</v>
      </c>
      <c r="F309" s="11">
        <f t="shared" si="2"/>
        <v>0.4375</v>
      </c>
      <c r="G309" s="4">
        <v>679.0</v>
      </c>
      <c r="H309" s="11">
        <f t="shared" si="3"/>
        <v>0.4715277778</v>
      </c>
      <c r="I309" s="12">
        <f t="shared" si="4"/>
        <v>0.9278350515</v>
      </c>
      <c r="J309" s="13" t="str">
        <f t="shared" si="5"/>
        <v>HIGH</v>
      </c>
    </row>
    <row r="310">
      <c r="A310" s="4">
        <v>6.962181067E9</v>
      </c>
      <c r="B310" s="10">
        <v>42474.0</v>
      </c>
      <c r="C310" s="4" t="str">
        <f t="shared" si="1"/>
        <v>696218106742474</v>
      </c>
      <c r="D310" s="4">
        <v>2.0</v>
      </c>
      <c r="E310" s="4">
        <v>508.0</v>
      </c>
      <c r="F310" s="11">
        <f t="shared" si="2"/>
        <v>0.3527777778</v>
      </c>
      <c r="G310" s="4">
        <v>535.0</v>
      </c>
      <c r="H310" s="11">
        <f t="shared" si="3"/>
        <v>0.3715277778</v>
      </c>
      <c r="I310" s="12">
        <f t="shared" si="4"/>
        <v>0.9495327103</v>
      </c>
      <c r="J310" s="13" t="str">
        <f t="shared" si="5"/>
        <v>HIGH</v>
      </c>
    </row>
    <row r="311">
      <c r="A311" s="4">
        <v>6.962181067E9</v>
      </c>
      <c r="B311" s="10">
        <v>42475.0</v>
      </c>
      <c r="C311" s="4" t="str">
        <f t="shared" si="1"/>
        <v>696218106742475</v>
      </c>
      <c r="D311" s="4">
        <v>1.0</v>
      </c>
      <c r="E311" s="4">
        <v>370.0</v>
      </c>
      <c r="F311" s="11">
        <f t="shared" si="2"/>
        <v>0.2569444444</v>
      </c>
      <c r="G311" s="4">
        <v>386.0</v>
      </c>
      <c r="H311" s="11">
        <f t="shared" si="3"/>
        <v>0.2680555556</v>
      </c>
      <c r="I311" s="12">
        <f t="shared" si="4"/>
        <v>0.9585492228</v>
      </c>
      <c r="J311" s="13" t="str">
        <f t="shared" si="5"/>
        <v>OK</v>
      </c>
    </row>
    <row r="312">
      <c r="A312" s="4">
        <v>6.962181067E9</v>
      </c>
      <c r="B312" s="10">
        <v>42476.0</v>
      </c>
      <c r="C312" s="4" t="str">
        <f t="shared" si="1"/>
        <v>696218106742476</v>
      </c>
      <c r="D312" s="4">
        <v>1.0</v>
      </c>
      <c r="E312" s="4">
        <v>357.0</v>
      </c>
      <c r="F312" s="11">
        <f t="shared" si="2"/>
        <v>0.2479166667</v>
      </c>
      <c r="G312" s="4">
        <v>366.0</v>
      </c>
      <c r="H312" s="11">
        <f t="shared" si="3"/>
        <v>0.2541666667</v>
      </c>
      <c r="I312" s="12">
        <f t="shared" si="4"/>
        <v>0.9754098361</v>
      </c>
      <c r="J312" s="13" t="str">
        <f t="shared" si="5"/>
        <v>LOW</v>
      </c>
    </row>
    <row r="313">
      <c r="A313" s="4">
        <v>6.962181067E9</v>
      </c>
      <c r="B313" s="10">
        <v>42477.0</v>
      </c>
      <c r="C313" s="4" t="str">
        <f t="shared" si="1"/>
        <v>696218106742477</v>
      </c>
      <c r="D313" s="4">
        <v>1.0</v>
      </c>
      <c r="E313" s="4">
        <v>427.0</v>
      </c>
      <c r="F313" s="11">
        <f t="shared" si="2"/>
        <v>0.2965277778</v>
      </c>
      <c r="G313" s="4">
        <v>446.0</v>
      </c>
      <c r="H313" s="11">
        <f t="shared" si="3"/>
        <v>0.3097222222</v>
      </c>
      <c r="I313" s="12">
        <f t="shared" si="4"/>
        <v>0.9573991031</v>
      </c>
      <c r="J313" s="13" t="str">
        <f t="shared" si="5"/>
        <v>OK</v>
      </c>
    </row>
    <row r="314">
      <c r="A314" s="4">
        <v>6.962181067E9</v>
      </c>
      <c r="B314" s="10">
        <v>42478.0</v>
      </c>
      <c r="C314" s="4" t="str">
        <f t="shared" si="1"/>
        <v>696218106742478</v>
      </c>
      <c r="D314" s="4">
        <v>1.0</v>
      </c>
      <c r="E314" s="4">
        <v>442.0</v>
      </c>
      <c r="F314" s="11">
        <f t="shared" si="2"/>
        <v>0.3069444444</v>
      </c>
      <c r="G314" s="4">
        <v>458.0</v>
      </c>
      <c r="H314" s="11">
        <f t="shared" si="3"/>
        <v>0.3180555556</v>
      </c>
      <c r="I314" s="12">
        <f t="shared" si="4"/>
        <v>0.9650655022</v>
      </c>
      <c r="J314" s="13" t="str">
        <f t="shared" si="5"/>
        <v>OK</v>
      </c>
    </row>
    <row r="315">
      <c r="A315" s="4">
        <v>6.962181067E9</v>
      </c>
      <c r="B315" s="10">
        <v>42479.0</v>
      </c>
      <c r="C315" s="4" t="str">
        <f t="shared" si="1"/>
        <v>696218106742479</v>
      </c>
      <c r="D315" s="4">
        <v>1.0</v>
      </c>
      <c r="E315" s="4">
        <v>476.0</v>
      </c>
      <c r="F315" s="11">
        <f t="shared" si="2"/>
        <v>0.3305555556</v>
      </c>
      <c r="G315" s="4">
        <v>535.0</v>
      </c>
      <c r="H315" s="11">
        <f t="shared" si="3"/>
        <v>0.3715277778</v>
      </c>
      <c r="I315" s="12">
        <f t="shared" si="4"/>
        <v>0.8897196262</v>
      </c>
      <c r="J315" s="13" t="str">
        <f t="shared" si="5"/>
        <v>OK</v>
      </c>
    </row>
    <row r="316">
      <c r="A316" s="4">
        <v>6.962181067E9</v>
      </c>
      <c r="B316" s="10">
        <v>42480.0</v>
      </c>
      <c r="C316" s="4" t="str">
        <f t="shared" si="1"/>
        <v>696218106742480</v>
      </c>
      <c r="D316" s="4">
        <v>1.0</v>
      </c>
      <c r="E316" s="4">
        <v>418.0</v>
      </c>
      <c r="F316" s="11">
        <f t="shared" si="2"/>
        <v>0.2902777778</v>
      </c>
      <c r="G316" s="4">
        <v>424.0</v>
      </c>
      <c r="H316" s="11">
        <f t="shared" si="3"/>
        <v>0.2944444444</v>
      </c>
      <c r="I316" s="12">
        <f t="shared" si="4"/>
        <v>0.9858490566</v>
      </c>
      <c r="J316" s="13" t="str">
        <f t="shared" si="5"/>
        <v>OK</v>
      </c>
    </row>
    <row r="317">
      <c r="A317" s="4">
        <v>6.962181067E9</v>
      </c>
      <c r="B317" s="10">
        <v>42481.0</v>
      </c>
      <c r="C317" s="4" t="str">
        <f t="shared" si="1"/>
        <v>696218106742481</v>
      </c>
      <c r="D317" s="4">
        <v>1.0</v>
      </c>
      <c r="E317" s="4">
        <v>451.0</v>
      </c>
      <c r="F317" s="11">
        <f t="shared" si="2"/>
        <v>0.3131944444</v>
      </c>
      <c r="G317" s="4">
        <v>457.0</v>
      </c>
      <c r="H317" s="11">
        <f t="shared" si="3"/>
        <v>0.3173611111</v>
      </c>
      <c r="I317" s="12">
        <f t="shared" si="4"/>
        <v>0.9868708972</v>
      </c>
      <c r="J317" s="13" t="str">
        <f t="shared" si="5"/>
        <v>OK</v>
      </c>
    </row>
    <row r="318">
      <c r="A318" s="4">
        <v>6.962181067E9</v>
      </c>
      <c r="B318" s="10">
        <v>42482.0</v>
      </c>
      <c r="C318" s="4" t="str">
        <f t="shared" si="1"/>
        <v>696218106742482</v>
      </c>
      <c r="D318" s="4">
        <v>1.0</v>
      </c>
      <c r="E318" s="4">
        <v>425.0</v>
      </c>
      <c r="F318" s="11">
        <f t="shared" si="2"/>
        <v>0.2951388889</v>
      </c>
      <c r="G318" s="4">
        <v>435.0</v>
      </c>
      <c r="H318" s="11">
        <f t="shared" si="3"/>
        <v>0.3020833333</v>
      </c>
      <c r="I318" s="12">
        <f t="shared" si="4"/>
        <v>0.9770114943</v>
      </c>
      <c r="J318" s="13" t="str">
        <f t="shared" si="5"/>
        <v>OK</v>
      </c>
    </row>
    <row r="319">
      <c r="A319" s="4">
        <v>6.962181067E9</v>
      </c>
      <c r="B319" s="10">
        <v>42483.0</v>
      </c>
      <c r="C319" s="4" t="str">
        <f t="shared" si="1"/>
        <v>696218106742483</v>
      </c>
      <c r="D319" s="4">
        <v>1.0</v>
      </c>
      <c r="E319" s="4">
        <v>528.0</v>
      </c>
      <c r="F319" s="11">
        <f t="shared" si="2"/>
        <v>0.3666666667</v>
      </c>
      <c r="G319" s="4">
        <v>546.0</v>
      </c>
      <c r="H319" s="11">
        <f t="shared" si="3"/>
        <v>0.3791666667</v>
      </c>
      <c r="I319" s="12">
        <f t="shared" si="4"/>
        <v>0.967032967</v>
      </c>
      <c r="J319" s="13" t="str">
        <f t="shared" si="5"/>
        <v>HIGH</v>
      </c>
    </row>
    <row r="320">
      <c r="A320" s="4">
        <v>6.962181067E9</v>
      </c>
      <c r="B320" s="10">
        <v>42484.0</v>
      </c>
      <c r="C320" s="4" t="str">
        <f t="shared" si="1"/>
        <v>696218106742484</v>
      </c>
      <c r="D320" s="4">
        <v>1.0</v>
      </c>
      <c r="E320" s="4">
        <v>511.0</v>
      </c>
      <c r="F320" s="11">
        <f t="shared" si="2"/>
        <v>0.3548611111</v>
      </c>
      <c r="G320" s="4">
        <v>514.0</v>
      </c>
      <c r="H320" s="11">
        <f t="shared" si="3"/>
        <v>0.3569444444</v>
      </c>
      <c r="I320" s="12">
        <f t="shared" si="4"/>
        <v>0.9941634241</v>
      </c>
      <c r="J320" s="13" t="str">
        <f t="shared" si="5"/>
        <v>HIGH</v>
      </c>
    </row>
    <row r="321">
      <c r="A321" s="4">
        <v>6.962181067E9</v>
      </c>
      <c r="B321" s="10">
        <v>42485.0</v>
      </c>
      <c r="C321" s="4" t="str">
        <f t="shared" si="1"/>
        <v>696218106742485</v>
      </c>
      <c r="D321" s="4">
        <v>1.0</v>
      </c>
      <c r="E321" s="4">
        <v>400.0</v>
      </c>
      <c r="F321" s="11">
        <f t="shared" si="2"/>
        <v>0.2777777778</v>
      </c>
      <c r="G321" s="4">
        <v>415.0</v>
      </c>
      <c r="H321" s="11">
        <f t="shared" si="3"/>
        <v>0.2881944444</v>
      </c>
      <c r="I321" s="12">
        <f t="shared" si="4"/>
        <v>0.9638554217</v>
      </c>
      <c r="J321" s="13" t="str">
        <f t="shared" si="5"/>
        <v>OK</v>
      </c>
    </row>
    <row r="322">
      <c r="A322" s="4">
        <v>6.962181067E9</v>
      </c>
      <c r="B322" s="10">
        <v>42486.0</v>
      </c>
      <c r="C322" s="4" t="str">
        <f t="shared" si="1"/>
        <v>696218106742486</v>
      </c>
      <c r="D322" s="4">
        <v>1.0</v>
      </c>
      <c r="E322" s="4">
        <v>441.0</v>
      </c>
      <c r="F322" s="11">
        <f t="shared" si="2"/>
        <v>0.30625</v>
      </c>
      <c r="G322" s="4">
        <v>446.0</v>
      </c>
      <c r="H322" s="11">
        <f t="shared" si="3"/>
        <v>0.3097222222</v>
      </c>
      <c r="I322" s="12">
        <f t="shared" si="4"/>
        <v>0.9887892377</v>
      </c>
      <c r="J322" s="13" t="str">
        <f t="shared" si="5"/>
        <v>OK</v>
      </c>
    </row>
    <row r="323">
      <c r="A323" s="4">
        <v>6.962181067E9</v>
      </c>
      <c r="B323" s="10">
        <v>42487.0</v>
      </c>
      <c r="C323" s="4" t="str">
        <f t="shared" si="1"/>
        <v>696218106742487</v>
      </c>
      <c r="D323" s="4">
        <v>1.0</v>
      </c>
      <c r="E323" s="4">
        <v>455.0</v>
      </c>
      <c r="F323" s="11">
        <f t="shared" si="2"/>
        <v>0.3159722222</v>
      </c>
      <c r="G323" s="4">
        <v>467.0</v>
      </c>
      <c r="H323" s="11">
        <f t="shared" si="3"/>
        <v>0.3243055556</v>
      </c>
      <c r="I323" s="12">
        <f t="shared" si="4"/>
        <v>0.9743040685</v>
      </c>
      <c r="J323" s="13" t="str">
        <f t="shared" si="5"/>
        <v>OK</v>
      </c>
    </row>
    <row r="324">
      <c r="A324" s="4">
        <v>6.962181067E9</v>
      </c>
      <c r="B324" s="10">
        <v>42488.0</v>
      </c>
      <c r="C324" s="4" t="str">
        <f t="shared" si="1"/>
        <v>696218106742488</v>
      </c>
      <c r="D324" s="4">
        <v>1.0</v>
      </c>
      <c r="E324" s="4">
        <v>440.0</v>
      </c>
      <c r="F324" s="11">
        <f t="shared" si="2"/>
        <v>0.3055555556</v>
      </c>
      <c r="G324" s="4">
        <v>453.0</v>
      </c>
      <c r="H324" s="11">
        <f t="shared" si="3"/>
        <v>0.3145833333</v>
      </c>
      <c r="I324" s="12">
        <f t="shared" si="4"/>
        <v>0.9713024283</v>
      </c>
      <c r="J324" s="13" t="str">
        <f t="shared" si="5"/>
        <v>OK</v>
      </c>
    </row>
    <row r="325">
      <c r="A325" s="4">
        <v>6.962181067E9</v>
      </c>
      <c r="B325" s="10">
        <v>42489.0</v>
      </c>
      <c r="C325" s="4" t="str">
        <f t="shared" si="1"/>
        <v>696218106742489</v>
      </c>
      <c r="D325" s="4">
        <v>1.0</v>
      </c>
      <c r="E325" s="4">
        <v>433.0</v>
      </c>
      <c r="F325" s="11">
        <f t="shared" si="2"/>
        <v>0.3006944444</v>
      </c>
      <c r="G325" s="4">
        <v>447.0</v>
      </c>
      <c r="H325" s="11">
        <f t="shared" si="3"/>
        <v>0.3104166667</v>
      </c>
      <c r="I325" s="12">
        <f t="shared" si="4"/>
        <v>0.9686800895</v>
      </c>
      <c r="J325" s="13" t="str">
        <f t="shared" si="5"/>
        <v>OK</v>
      </c>
    </row>
    <row r="326">
      <c r="A326" s="4">
        <v>6.962181067E9</v>
      </c>
      <c r="B326" s="10">
        <v>42490.0</v>
      </c>
      <c r="C326" s="4" t="str">
        <f t="shared" si="1"/>
        <v>696218106742490</v>
      </c>
      <c r="D326" s="4">
        <v>1.0</v>
      </c>
      <c r="E326" s="4">
        <v>422.0</v>
      </c>
      <c r="F326" s="11">
        <f t="shared" si="2"/>
        <v>0.2930555556</v>
      </c>
      <c r="G326" s="4">
        <v>424.0</v>
      </c>
      <c r="H326" s="11">
        <f t="shared" si="3"/>
        <v>0.2944444444</v>
      </c>
      <c r="I326" s="12">
        <f t="shared" si="4"/>
        <v>0.9952830189</v>
      </c>
      <c r="J326" s="13" t="str">
        <f t="shared" si="5"/>
        <v>OK</v>
      </c>
    </row>
    <row r="327">
      <c r="A327" s="4">
        <v>6.962181067E9</v>
      </c>
      <c r="B327" s="10">
        <v>42491.0</v>
      </c>
      <c r="C327" s="4" t="str">
        <f t="shared" si="1"/>
        <v>696218106742491</v>
      </c>
      <c r="D327" s="4">
        <v>1.0</v>
      </c>
      <c r="E327" s="4">
        <v>411.0</v>
      </c>
      <c r="F327" s="11">
        <f t="shared" si="2"/>
        <v>0.2854166667</v>
      </c>
      <c r="G327" s="4">
        <v>426.0</v>
      </c>
      <c r="H327" s="11">
        <f t="shared" si="3"/>
        <v>0.2958333333</v>
      </c>
      <c r="I327" s="12">
        <f t="shared" si="4"/>
        <v>0.9647887324</v>
      </c>
      <c r="J327" s="13" t="str">
        <f t="shared" si="5"/>
        <v>OK</v>
      </c>
    </row>
    <row r="328">
      <c r="A328" s="4">
        <v>6.962181067E9</v>
      </c>
      <c r="B328" s="10">
        <v>42492.0</v>
      </c>
      <c r="C328" s="4" t="str">
        <f t="shared" si="1"/>
        <v>696218106742492</v>
      </c>
      <c r="D328" s="4">
        <v>1.0</v>
      </c>
      <c r="E328" s="4">
        <v>466.0</v>
      </c>
      <c r="F328" s="11">
        <f t="shared" si="2"/>
        <v>0.3236111111</v>
      </c>
      <c r="G328" s="4">
        <v>482.0</v>
      </c>
      <c r="H328" s="11">
        <f t="shared" si="3"/>
        <v>0.3347222222</v>
      </c>
      <c r="I328" s="12">
        <f t="shared" si="4"/>
        <v>0.9668049793</v>
      </c>
      <c r="J328" s="13" t="str">
        <f t="shared" si="5"/>
        <v>OK</v>
      </c>
    </row>
    <row r="329">
      <c r="A329" s="4">
        <v>6.962181067E9</v>
      </c>
      <c r="B329" s="10">
        <v>42493.0</v>
      </c>
      <c r="C329" s="4" t="str">
        <f t="shared" si="1"/>
        <v>696218106742493</v>
      </c>
      <c r="D329" s="4">
        <v>1.0</v>
      </c>
      <c r="E329" s="4">
        <v>394.0</v>
      </c>
      <c r="F329" s="11">
        <f t="shared" si="2"/>
        <v>0.2736111111</v>
      </c>
      <c r="G329" s="4">
        <v>418.0</v>
      </c>
      <c r="H329" s="11">
        <f t="shared" si="3"/>
        <v>0.2902777778</v>
      </c>
      <c r="I329" s="12">
        <f t="shared" si="4"/>
        <v>0.9425837321</v>
      </c>
      <c r="J329" s="13" t="str">
        <f t="shared" si="5"/>
        <v>OK</v>
      </c>
    </row>
    <row r="330">
      <c r="A330" s="4">
        <v>6.962181067E9</v>
      </c>
      <c r="B330" s="10">
        <v>42494.0</v>
      </c>
      <c r="C330" s="4" t="str">
        <f t="shared" si="1"/>
        <v>696218106742494</v>
      </c>
      <c r="D330" s="4">
        <v>1.0</v>
      </c>
      <c r="E330" s="4">
        <v>442.0</v>
      </c>
      <c r="F330" s="11">
        <f t="shared" si="2"/>
        <v>0.3069444444</v>
      </c>
      <c r="G330" s="4">
        <v>455.0</v>
      </c>
      <c r="H330" s="11">
        <f t="shared" si="3"/>
        <v>0.3159722222</v>
      </c>
      <c r="I330" s="12">
        <f t="shared" si="4"/>
        <v>0.9714285714</v>
      </c>
      <c r="J330" s="13" t="str">
        <f t="shared" si="5"/>
        <v>OK</v>
      </c>
    </row>
    <row r="331">
      <c r="A331" s="4">
        <v>6.962181067E9</v>
      </c>
      <c r="B331" s="10">
        <v>42495.0</v>
      </c>
      <c r="C331" s="4" t="str">
        <f t="shared" si="1"/>
        <v>696218106742495</v>
      </c>
      <c r="D331" s="4">
        <v>1.0</v>
      </c>
      <c r="E331" s="4">
        <v>467.0</v>
      </c>
      <c r="F331" s="11">
        <f t="shared" si="2"/>
        <v>0.3243055556</v>
      </c>
      <c r="G331" s="4">
        <v>491.0</v>
      </c>
      <c r="H331" s="11">
        <f t="shared" si="3"/>
        <v>0.3409722222</v>
      </c>
      <c r="I331" s="12">
        <f t="shared" si="4"/>
        <v>0.9511201629</v>
      </c>
      <c r="J331" s="13" t="str">
        <f t="shared" si="5"/>
        <v>OK</v>
      </c>
    </row>
    <row r="332">
      <c r="A332" s="4">
        <v>6.962181067E9</v>
      </c>
      <c r="B332" s="10">
        <v>42496.0</v>
      </c>
      <c r="C332" s="4" t="str">
        <f t="shared" si="1"/>
        <v>696218106742496</v>
      </c>
      <c r="D332" s="4">
        <v>1.0</v>
      </c>
      <c r="E332" s="4">
        <v>443.0</v>
      </c>
      <c r="F332" s="11">
        <f t="shared" si="2"/>
        <v>0.3076388889</v>
      </c>
      <c r="G332" s="4">
        <v>462.0</v>
      </c>
      <c r="H332" s="11">
        <f t="shared" si="3"/>
        <v>0.3208333333</v>
      </c>
      <c r="I332" s="12">
        <f t="shared" si="4"/>
        <v>0.9588744589</v>
      </c>
      <c r="J332" s="13" t="str">
        <f t="shared" si="5"/>
        <v>OK</v>
      </c>
    </row>
    <row r="333">
      <c r="A333" s="4">
        <v>6.962181067E9</v>
      </c>
      <c r="B333" s="10">
        <v>42497.0</v>
      </c>
      <c r="C333" s="4" t="str">
        <f t="shared" si="1"/>
        <v>696218106742497</v>
      </c>
      <c r="D333" s="4">
        <v>1.0</v>
      </c>
      <c r="E333" s="4">
        <v>298.0</v>
      </c>
      <c r="F333" s="11">
        <f t="shared" si="2"/>
        <v>0.2069444444</v>
      </c>
      <c r="G333" s="4">
        <v>334.0</v>
      </c>
      <c r="H333" s="11">
        <f t="shared" si="3"/>
        <v>0.2319444444</v>
      </c>
      <c r="I333" s="12">
        <f t="shared" si="4"/>
        <v>0.8922155689</v>
      </c>
      <c r="J333" s="13" t="str">
        <f t="shared" si="5"/>
        <v>LOW</v>
      </c>
    </row>
    <row r="334">
      <c r="A334" s="4">
        <v>6.962181067E9</v>
      </c>
      <c r="B334" s="10">
        <v>42498.0</v>
      </c>
      <c r="C334" s="4" t="str">
        <f t="shared" si="1"/>
        <v>696218106742498</v>
      </c>
      <c r="D334" s="4">
        <v>1.0</v>
      </c>
      <c r="E334" s="4">
        <v>541.0</v>
      </c>
      <c r="F334" s="11">
        <f t="shared" si="2"/>
        <v>0.3756944444</v>
      </c>
      <c r="G334" s="4">
        <v>569.0</v>
      </c>
      <c r="H334" s="11">
        <f t="shared" si="3"/>
        <v>0.3951388889</v>
      </c>
      <c r="I334" s="12">
        <f t="shared" si="4"/>
        <v>0.9507908612</v>
      </c>
      <c r="J334" s="13" t="str">
        <f t="shared" si="5"/>
        <v>HIGH</v>
      </c>
    </row>
    <row r="335">
      <c r="A335" s="4">
        <v>6.962181067E9</v>
      </c>
      <c r="B335" s="10">
        <v>42499.0</v>
      </c>
      <c r="C335" s="4" t="str">
        <f t="shared" si="1"/>
        <v>696218106742499</v>
      </c>
      <c r="D335" s="4">
        <v>1.0</v>
      </c>
      <c r="E335" s="4">
        <v>489.0</v>
      </c>
      <c r="F335" s="11">
        <f t="shared" si="2"/>
        <v>0.3395833333</v>
      </c>
      <c r="G335" s="4">
        <v>497.0</v>
      </c>
      <c r="H335" s="11">
        <f t="shared" si="3"/>
        <v>0.3451388889</v>
      </c>
      <c r="I335" s="12">
        <f t="shared" si="4"/>
        <v>0.9839034205</v>
      </c>
      <c r="J335" s="13" t="str">
        <f t="shared" si="5"/>
        <v>HIGH</v>
      </c>
    </row>
    <row r="336">
      <c r="A336" s="4">
        <v>6.962181067E9</v>
      </c>
      <c r="B336" s="10">
        <v>42500.0</v>
      </c>
      <c r="C336" s="4" t="str">
        <f t="shared" si="1"/>
        <v>696218106742500</v>
      </c>
      <c r="D336" s="4">
        <v>1.0</v>
      </c>
      <c r="E336" s="4">
        <v>469.0</v>
      </c>
      <c r="F336" s="11">
        <f t="shared" si="2"/>
        <v>0.3256944444</v>
      </c>
      <c r="G336" s="4">
        <v>481.0</v>
      </c>
      <c r="H336" s="11">
        <f t="shared" si="3"/>
        <v>0.3340277778</v>
      </c>
      <c r="I336" s="12">
        <f t="shared" si="4"/>
        <v>0.9750519751</v>
      </c>
      <c r="J336" s="13" t="str">
        <f t="shared" si="5"/>
        <v>OK</v>
      </c>
    </row>
    <row r="337">
      <c r="A337" s="4">
        <v>6.962181067E9</v>
      </c>
      <c r="B337" s="10">
        <v>42501.0</v>
      </c>
      <c r="C337" s="4" t="str">
        <f t="shared" si="1"/>
        <v>696218106742501</v>
      </c>
      <c r="D337" s="4">
        <v>1.0</v>
      </c>
      <c r="E337" s="4">
        <v>452.0</v>
      </c>
      <c r="F337" s="11">
        <f t="shared" si="2"/>
        <v>0.3138888889</v>
      </c>
      <c r="G337" s="4">
        <v>480.0</v>
      </c>
      <c r="H337" s="11">
        <f t="shared" si="3"/>
        <v>0.3333333333</v>
      </c>
      <c r="I337" s="12">
        <f t="shared" si="4"/>
        <v>0.9416666667</v>
      </c>
      <c r="J337" s="13" t="str">
        <f t="shared" si="5"/>
        <v>OK</v>
      </c>
    </row>
    <row r="338">
      <c r="A338" s="4">
        <v>6.962181067E9</v>
      </c>
      <c r="B338" s="10">
        <v>42502.0</v>
      </c>
      <c r="C338" s="4" t="str">
        <f t="shared" si="1"/>
        <v>696218106742502</v>
      </c>
      <c r="D338" s="4">
        <v>1.0</v>
      </c>
      <c r="E338" s="4">
        <v>516.0</v>
      </c>
      <c r="F338" s="11">
        <f t="shared" si="2"/>
        <v>0.3583333333</v>
      </c>
      <c r="G338" s="4">
        <v>535.0</v>
      </c>
      <c r="H338" s="11">
        <f t="shared" si="3"/>
        <v>0.3715277778</v>
      </c>
      <c r="I338" s="12">
        <f t="shared" si="4"/>
        <v>0.9644859813</v>
      </c>
      <c r="J338" s="13" t="str">
        <f t="shared" si="5"/>
        <v>HIGH</v>
      </c>
    </row>
    <row r="339">
      <c r="A339" s="4">
        <v>7.007744171E9</v>
      </c>
      <c r="B339" s="10">
        <v>42476.0</v>
      </c>
      <c r="C339" s="4" t="str">
        <f t="shared" si="1"/>
        <v>700774417142476</v>
      </c>
      <c r="D339" s="4">
        <v>1.0</v>
      </c>
      <c r="E339" s="4">
        <v>79.0</v>
      </c>
      <c r="F339" s="11">
        <f t="shared" si="2"/>
        <v>0.05486111111</v>
      </c>
      <c r="G339" s="4">
        <v>82.0</v>
      </c>
      <c r="H339" s="11">
        <f t="shared" si="3"/>
        <v>0.05694444444</v>
      </c>
      <c r="I339" s="12">
        <f t="shared" si="4"/>
        <v>0.9634146341</v>
      </c>
      <c r="J339" s="13" t="str">
        <f t="shared" si="5"/>
        <v>LOW</v>
      </c>
    </row>
    <row r="340">
      <c r="A340" s="4">
        <v>7.007744171E9</v>
      </c>
      <c r="B340" s="10">
        <v>42491.0</v>
      </c>
      <c r="C340" s="4" t="str">
        <f t="shared" si="1"/>
        <v>700774417142491</v>
      </c>
      <c r="D340" s="4">
        <v>1.0</v>
      </c>
      <c r="E340" s="4">
        <v>58.0</v>
      </c>
      <c r="F340" s="11">
        <f t="shared" si="2"/>
        <v>0.04027777778</v>
      </c>
      <c r="G340" s="4">
        <v>61.0</v>
      </c>
      <c r="H340" s="11">
        <f t="shared" si="3"/>
        <v>0.04236111111</v>
      </c>
      <c r="I340" s="12">
        <f t="shared" si="4"/>
        <v>0.9508196721</v>
      </c>
      <c r="J340" s="13" t="str">
        <f t="shared" si="5"/>
        <v>LOW</v>
      </c>
    </row>
    <row r="341">
      <c r="A341" s="4">
        <v>7.086361926E9</v>
      </c>
      <c r="B341" s="10">
        <v>42472.0</v>
      </c>
      <c r="C341" s="4" t="str">
        <f t="shared" si="1"/>
        <v>708636192642472</v>
      </c>
      <c r="D341" s="4">
        <v>1.0</v>
      </c>
      <c r="E341" s="4">
        <v>514.0</v>
      </c>
      <c r="F341" s="11">
        <f t="shared" si="2"/>
        <v>0.3569444444</v>
      </c>
      <c r="G341" s="4">
        <v>525.0</v>
      </c>
      <c r="H341" s="11">
        <f t="shared" si="3"/>
        <v>0.3645833333</v>
      </c>
      <c r="I341" s="12">
        <f t="shared" si="4"/>
        <v>0.979047619</v>
      </c>
      <c r="J341" s="13" t="str">
        <f t="shared" si="5"/>
        <v>HIGH</v>
      </c>
    </row>
    <row r="342">
      <c r="A342" s="4">
        <v>7.086361926E9</v>
      </c>
      <c r="B342" s="10">
        <v>42473.0</v>
      </c>
      <c r="C342" s="4" t="str">
        <f t="shared" si="1"/>
        <v>708636192642473</v>
      </c>
      <c r="D342" s="4">
        <v>1.0</v>
      </c>
      <c r="E342" s="4">
        <v>451.0</v>
      </c>
      <c r="F342" s="11">
        <f t="shared" si="2"/>
        <v>0.3131944444</v>
      </c>
      <c r="G342" s="4">
        <v>465.0</v>
      </c>
      <c r="H342" s="11">
        <f t="shared" si="3"/>
        <v>0.3229166667</v>
      </c>
      <c r="I342" s="12">
        <f t="shared" si="4"/>
        <v>0.9698924731</v>
      </c>
      <c r="J342" s="13" t="str">
        <f t="shared" si="5"/>
        <v>OK</v>
      </c>
    </row>
    <row r="343">
      <c r="A343" s="4">
        <v>7.086361926E9</v>
      </c>
      <c r="B343" s="10">
        <v>42474.0</v>
      </c>
      <c r="C343" s="4" t="str">
        <f t="shared" si="1"/>
        <v>708636192642474</v>
      </c>
      <c r="D343" s="4">
        <v>1.0</v>
      </c>
      <c r="E343" s="4">
        <v>472.0</v>
      </c>
      <c r="F343" s="11">
        <f t="shared" si="2"/>
        <v>0.3277777778</v>
      </c>
      <c r="G343" s="4">
        <v>476.0</v>
      </c>
      <c r="H343" s="11">
        <f t="shared" si="3"/>
        <v>0.3305555556</v>
      </c>
      <c r="I343" s="12">
        <f t="shared" si="4"/>
        <v>0.9915966387</v>
      </c>
      <c r="J343" s="13" t="str">
        <f t="shared" si="5"/>
        <v>OK</v>
      </c>
    </row>
    <row r="344">
      <c r="A344" s="4">
        <v>7.086361926E9</v>
      </c>
      <c r="B344" s="10">
        <v>42475.0</v>
      </c>
      <c r="C344" s="4" t="str">
        <f t="shared" si="1"/>
        <v>708636192642475</v>
      </c>
      <c r="D344" s="4">
        <v>1.0</v>
      </c>
      <c r="E344" s="4">
        <v>377.0</v>
      </c>
      <c r="F344" s="11">
        <f t="shared" si="2"/>
        <v>0.2618055556</v>
      </c>
      <c r="G344" s="4">
        <v>386.0</v>
      </c>
      <c r="H344" s="11">
        <f t="shared" si="3"/>
        <v>0.2680555556</v>
      </c>
      <c r="I344" s="12">
        <f t="shared" si="4"/>
        <v>0.9766839378</v>
      </c>
      <c r="J344" s="13" t="str">
        <f t="shared" si="5"/>
        <v>OK</v>
      </c>
    </row>
    <row r="345">
      <c r="A345" s="4">
        <v>7.086361926E9</v>
      </c>
      <c r="B345" s="10">
        <v>42479.0</v>
      </c>
      <c r="C345" s="4" t="str">
        <f t="shared" si="1"/>
        <v>708636192642479</v>
      </c>
      <c r="D345" s="4">
        <v>1.0</v>
      </c>
      <c r="E345" s="4">
        <v>472.0</v>
      </c>
      <c r="F345" s="11">
        <f t="shared" si="2"/>
        <v>0.3277777778</v>
      </c>
      <c r="G345" s="4">
        <v>483.0</v>
      </c>
      <c r="H345" s="11">
        <f t="shared" si="3"/>
        <v>0.3354166667</v>
      </c>
      <c r="I345" s="12">
        <f t="shared" si="4"/>
        <v>0.9772256729</v>
      </c>
      <c r="J345" s="13" t="str">
        <f t="shared" si="5"/>
        <v>OK</v>
      </c>
    </row>
    <row r="346">
      <c r="A346" s="4">
        <v>7.086361926E9</v>
      </c>
      <c r="B346" s="10">
        <v>42480.0</v>
      </c>
      <c r="C346" s="4" t="str">
        <f t="shared" si="1"/>
        <v>708636192642480</v>
      </c>
      <c r="D346" s="4">
        <v>1.0</v>
      </c>
      <c r="E346" s="4">
        <v>492.0</v>
      </c>
      <c r="F346" s="11">
        <f t="shared" si="2"/>
        <v>0.3416666667</v>
      </c>
      <c r="G346" s="4">
        <v>502.0</v>
      </c>
      <c r="H346" s="11">
        <f t="shared" si="3"/>
        <v>0.3486111111</v>
      </c>
      <c r="I346" s="12">
        <f t="shared" si="4"/>
        <v>0.9800796813</v>
      </c>
      <c r="J346" s="13" t="str">
        <f t="shared" si="5"/>
        <v>HIGH</v>
      </c>
    </row>
    <row r="347">
      <c r="A347" s="4">
        <v>7.086361926E9</v>
      </c>
      <c r="B347" s="10">
        <v>42481.0</v>
      </c>
      <c r="C347" s="4" t="str">
        <f t="shared" si="1"/>
        <v>708636192642481</v>
      </c>
      <c r="D347" s="4">
        <v>1.0</v>
      </c>
      <c r="E347" s="4">
        <v>390.0</v>
      </c>
      <c r="F347" s="11">
        <f t="shared" si="2"/>
        <v>0.2708333333</v>
      </c>
      <c r="G347" s="4">
        <v>411.0</v>
      </c>
      <c r="H347" s="11">
        <f t="shared" si="3"/>
        <v>0.2854166667</v>
      </c>
      <c r="I347" s="12">
        <f t="shared" si="4"/>
        <v>0.9489051095</v>
      </c>
      <c r="J347" s="13" t="str">
        <f t="shared" si="5"/>
        <v>OK</v>
      </c>
    </row>
    <row r="348">
      <c r="A348" s="4">
        <v>7.086361926E9</v>
      </c>
      <c r="B348" s="10">
        <v>42482.0</v>
      </c>
      <c r="C348" s="4" t="str">
        <f t="shared" si="1"/>
        <v>708636192642482</v>
      </c>
      <c r="D348" s="4">
        <v>1.0</v>
      </c>
      <c r="E348" s="4">
        <v>428.0</v>
      </c>
      <c r="F348" s="11">
        <f t="shared" si="2"/>
        <v>0.2972222222</v>
      </c>
      <c r="G348" s="4">
        <v>448.0</v>
      </c>
      <c r="H348" s="11">
        <f t="shared" si="3"/>
        <v>0.3111111111</v>
      </c>
      <c r="I348" s="12">
        <f t="shared" si="4"/>
        <v>0.9553571429</v>
      </c>
      <c r="J348" s="13" t="str">
        <f t="shared" si="5"/>
        <v>OK</v>
      </c>
    </row>
    <row r="349">
      <c r="A349" s="4">
        <v>7.086361926E9</v>
      </c>
      <c r="B349" s="10">
        <v>42484.0</v>
      </c>
      <c r="C349" s="4" t="str">
        <f t="shared" si="1"/>
        <v>708636192642484</v>
      </c>
      <c r="D349" s="4">
        <v>1.0</v>
      </c>
      <c r="E349" s="4">
        <v>681.0</v>
      </c>
      <c r="F349" s="11">
        <f t="shared" si="2"/>
        <v>0.4729166667</v>
      </c>
      <c r="G349" s="4">
        <v>704.0</v>
      </c>
      <c r="H349" s="11">
        <f t="shared" si="3"/>
        <v>0.4888888889</v>
      </c>
      <c r="I349" s="12">
        <f t="shared" si="4"/>
        <v>0.9673295455</v>
      </c>
      <c r="J349" s="13" t="str">
        <f t="shared" si="5"/>
        <v>HIGH</v>
      </c>
    </row>
    <row r="350">
      <c r="A350" s="4">
        <v>7.086361926E9</v>
      </c>
      <c r="B350" s="10">
        <v>42485.0</v>
      </c>
      <c r="C350" s="4" t="str">
        <f t="shared" si="1"/>
        <v>708636192642485</v>
      </c>
      <c r="D350" s="4">
        <v>1.0</v>
      </c>
      <c r="E350" s="4">
        <v>446.0</v>
      </c>
      <c r="F350" s="11">
        <f t="shared" si="2"/>
        <v>0.3097222222</v>
      </c>
      <c r="G350" s="4">
        <v>447.0</v>
      </c>
      <c r="H350" s="11">
        <f t="shared" si="3"/>
        <v>0.3104166667</v>
      </c>
      <c r="I350" s="12">
        <f t="shared" si="4"/>
        <v>0.9977628635</v>
      </c>
      <c r="J350" s="13" t="str">
        <f t="shared" si="5"/>
        <v>OK</v>
      </c>
    </row>
    <row r="351">
      <c r="A351" s="4">
        <v>7.086361926E9</v>
      </c>
      <c r="B351" s="10">
        <v>42486.0</v>
      </c>
      <c r="C351" s="4" t="str">
        <f t="shared" si="1"/>
        <v>708636192642486</v>
      </c>
      <c r="D351" s="4">
        <v>1.0</v>
      </c>
      <c r="E351" s="4">
        <v>485.0</v>
      </c>
      <c r="F351" s="11">
        <f t="shared" si="2"/>
        <v>0.3368055556</v>
      </c>
      <c r="G351" s="4">
        <v>500.0</v>
      </c>
      <c r="H351" s="11">
        <f t="shared" si="3"/>
        <v>0.3472222222</v>
      </c>
      <c r="I351" s="12">
        <f t="shared" si="4"/>
        <v>0.97</v>
      </c>
      <c r="J351" s="13" t="str">
        <f t="shared" si="5"/>
        <v>HIGH</v>
      </c>
    </row>
    <row r="352">
      <c r="A352" s="4">
        <v>7.086361926E9</v>
      </c>
      <c r="B352" s="10">
        <v>42487.0</v>
      </c>
      <c r="C352" s="4" t="str">
        <f t="shared" si="1"/>
        <v>708636192642487</v>
      </c>
      <c r="D352" s="4">
        <v>1.0</v>
      </c>
      <c r="E352" s="4">
        <v>469.0</v>
      </c>
      <c r="F352" s="11">
        <f t="shared" si="2"/>
        <v>0.3256944444</v>
      </c>
      <c r="G352" s="4">
        <v>479.0</v>
      </c>
      <c r="H352" s="11">
        <f t="shared" si="3"/>
        <v>0.3326388889</v>
      </c>
      <c r="I352" s="12">
        <f t="shared" si="4"/>
        <v>0.9791231733</v>
      </c>
      <c r="J352" s="13" t="str">
        <f t="shared" si="5"/>
        <v>OK</v>
      </c>
    </row>
    <row r="353">
      <c r="A353" s="4">
        <v>7.086361926E9</v>
      </c>
      <c r="B353" s="10">
        <v>42488.0</v>
      </c>
      <c r="C353" s="4" t="str">
        <f t="shared" si="1"/>
        <v>708636192642488</v>
      </c>
      <c r="D353" s="4">
        <v>1.0</v>
      </c>
      <c r="E353" s="4">
        <v>354.0</v>
      </c>
      <c r="F353" s="11">
        <f t="shared" si="2"/>
        <v>0.2458333333</v>
      </c>
      <c r="G353" s="4">
        <v>367.0</v>
      </c>
      <c r="H353" s="11">
        <f t="shared" si="3"/>
        <v>0.2548611111</v>
      </c>
      <c r="I353" s="12">
        <f t="shared" si="4"/>
        <v>0.9645776567</v>
      </c>
      <c r="J353" s="13" t="str">
        <f t="shared" si="5"/>
        <v>LOW</v>
      </c>
    </row>
    <row r="354">
      <c r="A354" s="4">
        <v>7.086361926E9</v>
      </c>
      <c r="B354" s="10">
        <v>42490.0</v>
      </c>
      <c r="C354" s="4" t="str">
        <f t="shared" si="1"/>
        <v>708636192642490</v>
      </c>
      <c r="D354" s="4">
        <v>1.0</v>
      </c>
      <c r="E354" s="4">
        <v>485.0</v>
      </c>
      <c r="F354" s="11">
        <f t="shared" si="2"/>
        <v>0.3368055556</v>
      </c>
      <c r="G354" s="4">
        <v>489.0</v>
      </c>
      <c r="H354" s="11">
        <f t="shared" si="3"/>
        <v>0.3395833333</v>
      </c>
      <c r="I354" s="12">
        <f t="shared" si="4"/>
        <v>0.9918200409</v>
      </c>
      <c r="J354" s="13" t="str">
        <f t="shared" si="5"/>
        <v>HIGH</v>
      </c>
    </row>
    <row r="355">
      <c r="A355" s="4">
        <v>7.086361926E9</v>
      </c>
      <c r="B355" s="10">
        <v>42491.0</v>
      </c>
      <c r="C355" s="4" t="str">
        <f t="shared" si="1"/>
        <v>708636192642491</v>
      </c>
      <c r="D355" s="4">
        <v>1.0</v>
      </c>
      <c r="E355" s="4">
        <v>388.0</v>
      </c>
      <c r="F355" s="11">
        <f t="shared" si="2"/>
        <v>0.2694444444</v>
      </c>
      <c r="G355" s="4">
        <v>407.0</v>
      </c>
      <c r="H355" s="11">
        <f t="shared" si="3"/>
        <v>0.2826388889</v>
      </c>
      <c r="I355" s="12">
        <f t="shared" si="4"/>
        <v>0.9533169533</v>
      </c>
      <c r="J355" s="13" t="str">
        <f t="shared" si="5"/>
        <v>OK</v>
      </c>
    </row>
    <row r="356">
      <c r="A356" s="4">
        <v>7.086361926E9</v>
      </c>
      <c r="B356" s="10">
        <v>42492.0</v>
      </c>
      <c r="C356" s="4" t="str">
        <f t="shared" si="1"/>
        <v>708636192642492</v>
      </c>
      <c r="D356" s="4">
        <v>1.0</v>
      </c>
      <c r="E356" s="4">
        <v>440.0</v>
      </c>
      <c r="F356" s="11">
        <f t="shared" si="2"/>
        <v>0.3055555556</v>
      </c>
      <c r="G356" s="4">
        <v>459.0</v>
      </c>
      <c r="H356" s="11">
        <f t="shared" si="3"/>
        <v>0.31875</v>
      </c>
      <c r="I356" s="12">
        <f t="shared" si="4"/>
        <v>0.9586056645</v>
      </c>
      <c r="J356" s="13" t="str">
        <f t="shared" si="5"/>
        <v>OK</v>
      </c>
    </row>
    <row r="357">
      <c r="A357" s="4">
        <v>7.086361926E9</v>
      </c>
      <c r="B357" s="10">
        <v>42493.0</v>
      </c>
      <c r="C357" s="4" t="str">
        <f t="shared" si="1"/>
        <v>708636192642493</v>
      </c>
      <c r="D357" s="4">
        <v>1.0</v>
      </c>
      <c r="E357" s="4">
        <v>456.0</v>
      </c>
      <c r="F357" s="11">
        <f t="shared" si="2"/>
        <v>0.3166666667</v>
      </c>
      <c r="G357" s="4">
        <v>461.0</v>
      </c>
      <c r="H357" s="11">
        <f t="shared" si="3"/>
        <v>0.3201388889</v>
      </c>
      <c r="I357" s="12">
        <f t="shared" si="4"/>
        <v>0.989154013</v>
      </c>
      <c r="J357" s="13" t="str">
        <f t="shared" si="5"/>
        <v>OK</v>
      </c>
    </row>
    <row r="358">
      <c r="A358" s="4">
        <v>7.086361926E9</v>
      </c>
      <c r="B358" s="10">
        <v>42494.0</v>
      </c>
      <c r="C358" s="4" t="str">
        <f t="shared" si="1"/>
        <v>708636192642494</v>
      </c>
      <c r="D358" s="4">
        <v>1.0</v>
      </c>
      <c r="E358" s="4">
        <v>420.0</v>
      </c>
      <c r="F358" s="11">
        <f t="shared" si="2"/>
        <v>0.2916666667</v>
      </c>
      <c r="G358" s="4">
        <v>436.0</v>
      </c>
      <c r="H358" s="11">
        <f t="shared" si="3"/>
        <v>0.3027777778</v>
      </c>
      <c r="I358" s="12">
        <f t="shared" si="4"/>
        <v>0.9633027523</v>
      </c>
      <c r="J358" s="13" t="str">
        <f t="shared" si="5"/>
        <v>OK</v>
      </c>
    </row>
    <row r="359">
      <c r="A359" s="4">
        <v>7.086361926E9</v>
      </c>
      <c r="B359" s="10">
        <v>42496.0</v>
      </c>
      <c r="C359" s="4" t="str">
        <f t="shared" si="1"/>
        <v>708636192642496</v>
      </c>
      <c r="D359" s="4">
        <v>1.0</v>
      </c>
      <c r="E359" s="4">
        <v>322.0</v>
      </c>
      <c r="F359" s="11">
        <f t="shared" si="2"/>
        <v>0.2236111111</v>
      </c>
      <c r="G359" s="4">
        <v>333.0</v>
      </c>
      <c r="H359" s="11">
        <f t="shared" si="3"/>
        <v>0.23125</v>
      </c>
      <c r="I359" s="12">
        <f t="shared" si="4"/>
        <v>0.966966967</v>
      </c>
      <c r="J359" s="13" t="str">
        <f t="shared" si="5"/>
        <v>LOW</v>
      </c>
    </row>
    <row r="360">
      <c r="A360" s="4">
        <v>7.086361926E9</v>
      </c>
      <c r="B360" s="10">
        <v>42497.0</v>
      </c>
      <c r="C360" s="4" t="str">
        <f t="shared" si="1"/>
        <v>708636192642497</v>
      </c>
      <c r="D360" s="4">
        <v>1.0</v>
      </c>
      <c r="E360" s="4">
        <v>530.0</v>
      </c>
      <c r="F360" s="11">
        <f t="shared" si="2"/>
        <v>0.3680555556</v>
      </c>
      <c r="G360" s="4">
        <v>548.0</v>
      </c>
      <c r="H360" s="11">
        <f t="shared" si="3"/>
        <v>0.3805555556</v>
      </c>
      <c r="I360" s="12">
        <f t="shared" si="4"/>
        <v>0.9671532847</v>
      </c>
      <c r="J360" s="13" t="str">
        <f t="shared" si="5"/>
        <v>HIGH</v>
      </c>
    </row>
    <row r="361">
      <c r="A361" s="4">
        <v>7.086361926E9</v>
      </c>
      <c r="B361" s="10">
        <v>42498.0</v>
      </c>
      <c r="C361" s="4" t="str">
        <f t="shared" si="1"/>
        <v>708636192642498</v>
      </c>
      <c r="D361" s="4">
        <v>1.0</v>
      </c>
      <c r="E361" s="4">
        <v>481.0</v>
      </c>
      <c r="F361" s="11">
        <f t="shared" si="2"/>
        <v>0.3340277778</v>
      </c>
      <c r="G361" s="4">
        <v>510.0</v>
      </c>
      <c r="H361" s="11">
        <f t="shared" si="3"/>
        <v>0.3541666667</v>
      </c>
      <c r="I361" s="12">
        <f t="shared" si="4"/>
        <v>0.9431372549</v>
      </c>
      <c r="J361" s="13" t="str">
        <f t="shared" si="5"/>
        <v>HIGH</v>
      </c>
    </row>
    <row r="362">
      <c r="A362" s="4">
        <v>7.086361926E9</v>
      </c>
      <c r="B362" s="10">
        <v>42499.0</v>
      </c>
      <c r="C362" s="4" t="str">
        <f t="shared" si="1"/>
        <v>708636192642499</v>
      </c>
      <c r="D362" s="4">
        <v>1.0</v>
      </c>
      <c r="E362" s="4">
        <v>427.0</v>
      </c>
      <c r="F362" s="11">
        <f t="shared" si="2"/>
        <v>0.2965277778</v>
      </c>
      <c r="G362" s="4">
        <v>438.0</v>
      </c>
      <c r="H362" s="11">
        <f t="shared" si="3"/>
        <v>0.3041666667</v>
      </c>
      <c r="I362" s="12">
        <f t="shared" si="4"/>
        <v>0.9748858447</v>
      </c>
      <c r="J362" s="13" t="str">
        <f t="shared" si="5"/>
        <v>OK</v>
      </c>
    </row>
    <row r="363">
      <c r="A363" s="4">
        <v>7.086361926E9</v>
      </c>
      <c r="B363" s="10">
        <v>42501.0</v>
      </c>
      <c r="C363" s="4" t="str">
        <f t="shared" si="1"/>
        <v>708636192642501</v>
      </c>
      <c r="D363" s="4">
        <v>1.0</v>
      </c>
      <c r="E363" s="4">
        <v>451.0</v>
      </c>
      <c r="F363" s="11">
        <f t="shared" si="2"/>
        <v>0.3131944444</v>
      </c>
      <c r="G363" s="4">
        <v>463.0</v>
      </c>
      <c r="H363" s="11">
        <f t="shared" si="3"/>
        <v>0.3215277778</v>
      </c>
      <c r="I363" s="12">
        <f t="shared" si="4"/>
        <v>0.9740820734</v>
      </c>
      <c r="J363" s="13" t="str">
        <f t="shared" si="5"/>
        <v>OK</v>
      </c>
    </row>
    <row r="364">
      <c r="A364" s="4">
        <v>7.086361926E9</v>
      </c>
      <c r="B364" s="10">
        <v>42502.0</v>
      </c>
      <c r="C364" s="4" t="str">
        <f t="shared" si="1"/>
        <v>708636192642502</v>
      </c>
      <c r="D364" s="4">
        <v>1.0</v>
      </c>
      <c r="E364" s="4">
        <v>444.0</v>
      </c>
      <c r="F364" s="11">
        <f t="shared" si="2"/>
        <v>0.3083333333</v>
      </c>
      <c r="G364" s="4">
        <v>457.0</v>
      </c>
      <c r="H364" s="11">
        <f t="shared" si="3"/>
        <v>0.3173611111</v>
      </c>
      <c r="I364" s="12">
        <f t="shared" si="4"/>
        <v>0.9715536105</v>
      </c>
      <c r="J364" s="13" t="str">
        <f t="shared" si="5"/>
        <v>OK</v>
      </c>
    </row>
    <row r="365">
      <c r="A365" s="4">
        <v>8.053475328E9</v>
      </c>
      <c r="B365" s="10">
        <v>42480.0</v>
      </c>
      <c r="C365" s="4" t="str">
        <f t="shared" si="1"/>
        <v>805347532842480</v>
      </c>
      <c r="D365" s="4">
        <v>1.0</v>
      </c>
      <c r="E365" s="4">
        <v>486.0</v>
      </c>
      <c r="F365" s="11">
        <f t="shared" si="2"/>
        <v>0.3375</v>
      </c>
      <c r="G365" s="4">
        <v>493.0</v>
      </c>
      <c r="H365" s="11">
        <f t="shared" si="3"/>
        <v>0.3423611111</v>
      </c>
      <c r="I365" s="12">
        <f t="shared" si="4"/>
        <v>0.985801217</v>
      </c>
      <c r="J365" s="13" t="str">
        <f t="shared" si="5"/>
        <v>HIGH</v>
      </c>
    </row>
    <row r="366">
      <c r="A366" s="4">
        <v>8.053475328E9</v>
      </c>
      <c r="B366" s="10">
        <v>42483.0</v>
      </c>
      <c r="C366" s="4" t="str">
        <f t="shared" si="1"/>
        <v>805347532842483</v>
      </c>
      <c r="D366" s="4">
        <v>1.0</v>
      </c>
      <c r="E366" s="4">
        <v>331.0</v>
      </c>
      <c r="F366" s="11">
        <f t="shared" si="2"/>
        <v>0.2298611111</v>
      </c>
      <c r="G366" s="4">
        <v>337.0</v>
      </c>
      <c r="H366" s="11">
        <f t="shared" si="3"/>
        <v>0.2340277778</v>
      </c>
      <c r="I366" s="12">
        <f t="shared" si="4"/>
        <v>0.9821958457</v>
      </c>
      <c r="J366" s="13" t="str">
        <f t="shared" si="5"/>
        <v>LOW</v>
      </c>
    </row>
    <row r="367">
      <c r="A367" s="4">
        <v>8.053475328E9</v>
      </c>
      <c r="B367" s="10">
        <v>42497.0</v>
      </c>
      <c r="C367" s="4" t="str">
        <f t="shared" si="1"/>
        <v>805347532842497</v>
      </c>
      <c r="D367" s="4">
        <v>1.0</v>
      </c>
      <c r="E367" s="4">
        <v>74.0</v>
      </c>
      <c r="F367" s="11">
        <f t="shared" si="2"/>
        <v>0.05138888889</v>
      </c>
      <c r="G367" s="4">
        <v>75.0</v>
      </c>
      <c r="H367" s="11">
        <f t="shared" si="3"/>
        <v>0.05208333333</v>
      </c>
      <c r="I367" s="12">
        <f t="shared" si="4"/>
        <v>0.9866666667</v>
      </c>
      <c r="J367" s="13" t="str">
        <f t="shared" si="5"/>
        <v>LOW</v>
      </c>
    </row>
    <row r="368">
      <c r="A368" s="4">
        <v>8.3785632E9</v>
      </c>
      <c r="B368" s="10">
        <v>42472.0</v>
      </c>
      <c r="C368" s="4" t="str">
        <f t="shared" si="1"/>
        <v>837856320042472</v>
      </c>
      <c r="D368" s="4">
        <v>1.0</v>
      </c>
      <c r="E368" s="4">
        <v>338.0</v>
      </c>
      <c r="F368" s="11">
        <f t="shared" si="2"/>
        <v>0.2347222222</v>
      </c>
      <c r="G368" s="4">
        <v>356.0</v>
      </c>
      <c r="H368" s="11">
        <f t="shared" si="3"/>
        <v>0.2472222222</v>
      </c>
      <c r="I368" s="12">
        <f t="shared" si="4"/>
        <v>0.9494382022</v>
      </c>
      <c r="J368" s="13" t="str">
        <f t="shared" si="5"/>
        <v>LOW</v>
      </c>
    </row>
    <row r="369">
      <c r="A369" s="4">
        <v>8.3785632E9</v>
      </c>
      <c r="B369" s="10">
        <v>42473.0</v>
      </c>
      <c r="C369" s="4" t="str">
        <f t="shared" si="1"/>
        <v>837856320042473</v>
      </c>
      <c r="D369" s="4">
        <v>2.0</v>
      </c>
      <c r="E369" s="4">
        <v>447.0</v>
      </c>
      <c r="F369" s="11">
        <f t="shared" si="2"/>
        <v>0.3104166667</v>
      </c>
      <c r="G369" s="4">
        <v>487.0</v>
      </c>
      <c r="H369" s="11">
        <f t="shared" si="3"/>
        <v>0.3381944444</v>
      </c>
      <c r="I369" s="12">
        <f t="shared" si="4"/>
        <v>0.9178644764</v>
      </c>
      <c r="J369" s="13" t="str">
        <f t="shared" si="5"/>
        <v>OK</v>
      </c>
    </row>
    <row r="370">
      <c r="A370" s="4">
        <v>8.3785632E9</v>
      </c>
      <c r="B370" s="10">
        <v>42474.0</v>
      </c>
      <c r="C370" s="4" t="str">
        <f t="shared" si="1"/>
        <v>837856320042474</v>
      </c>
      <c r="D370" s="4">
        <v>1.0</v>
      </c>
      <c r="E370" s="4">
        <v>424.0</v>
      </c>
      <c r="F370" s="11">
        <f t="shared" si="2"/>
        <v>0.2944444444</v>
      </c>
      <c r="G370" s="4">
        <v>455.0</v>
      </c>
      <c r="H370" s="11">
        <f t="shared" si="3"/>
        <v>0.3159722222</v>
      </c>
      <c r="I370" s="12">
        <f t="shared" si="4"/>
        <v>0.9318681319</v>
      </c>
      <c r="J370" s="13" t="str">
        <f t="shared" si="5"/>
        <v>OK</v>
      </c>
    </row>
    <row r="371">
      <c r="A371" s="4">
        <v>8.3785632E9</v>
      </c>
      <c r="B371" s="10">
        <v>42475.0</v>
      </c>
      <c r="C371" s="4" t="str">
        <f t="shared" si="1"/>
        <v>837856320042475</v>
      </c>
      <c r="D371" s="4">
        <v>1.0</v>
      </c>
      <c r="E371" s="4">
        <v>513.0</v>
      </c>
      <c r="F371" s="11">
        <f t="shared" si="2"/>
        <v>0.35625</v>
      </c>
      <c r="G371" s="4">
        <v>533.0</v>
      </c>
      <c r="H371" s="11">
        <f t="shared" si="3"/>
        <v>0.3701388889</v>
      </c>
      <c r="I371" s="12">
        <f t="shared" si="4"/>
        <v>0.9624765478</v>
      </c>
      <c r="J371" s="13" t="str">
        <f t="shared" si="5"/>
        <v>HIGH</v>
      </c>
    </row>
    <row r="372">
      <c r="A372" s="4">
        <v>8.3785632E9</v>
      </c>
      <c r="B372" s="10">
        <v>42476.0</v>
      </c>
      <c r="C372" s="4" t="str">
        <f t="shared" si="1"/>
        <v>837856320042476</v>
      </c>
      <c r="D372" s="4">
        <v>2.0</v>
      </c>
      <c r="E372" s="4">
        <v>611.0</v>
      </c>
      <c r="F372" s="11">
        <f t="shared" si="2"/>
        <v>0.4243055556</v>
      </c>
      <c r="G372" s="4">
        <v>689.0</v>
      </c>
      <c r="H372" s="11">
        <f t="shared" si="3"/>
        <v>0.4784722222</v>
      </c>
      <c r="I372" s="12">
        <f t="shared" si="4"/>
        <v>0.8867924528</v>
      </c>
      <c r="J372" s="13" t="str">
        <f t="shared" si="5"/>
        <v>HIGH</v>
      </c>
    </row>
    <row r="373">
      <c r="A373" s="4">
        <v>8.3785632E9</v>
      </c>
      <c r="B373" s="10">
        <v>42477.0</v>
      </c>
      <c r="C373" s="4" t="str">
        <f t="shared" si="1"/>
        <v>837856320042477</v>
      </c>
      <c r="D373" s="4">
        <v>2.0</v>
      </c>
      <c r="E373" s="4">
        <v>525.0</v>
      </c>
      <c r="F373" s="11">
        <f t="shared" si="2"/>
        <v>0.3645833333</v>
      </c>
      <c r="G373" s="4">
        <v>591.0</v>
      </c>
      <c r="H373" s="11">
        <f t="shared" si="3"/>
        <v>0.4104166667</v>
      </c>
      <c r="I373" s="12">
        <f t="shared" si="4"/>
        <v>0.8883248731</v>
      </c>
      <c r="J373" s="13" t="str">
        <f t="shared" si="5"/>
        <v>HIGH</v>
      </c>
    </row>
    <row r="374">
      <c r="A374" s="4">
        <v>8.3785632E9</v>
      </c>
      <c r="B374" s="10">
        <v>42478.0</v>
      </c>
      <c r="C374" s="4" t="str">
        <f t="shared" si="1"/>
        <v>837856320042478</v>
      </c>
      <c r="D374" s="4">
        <v>1.0</v>
      </c>
      <c r="E374" s="4">
        <v>398.0</v>
      </c>
      <c r="F374" s="11">
        <f t="shared" si="2"/>
        <v>0.2763888889</v>
      </c>
      <c r="G374" s="4">
        <v>451.0</v>
      </c>
      <c r="H374" s="11">
        <f t="shared" si="3"/>
        <v>0.3131944444</v>
      </c>
      <c r="I374" s="12">
        <f t="shared" si="4"/>
        <v>0.8824833703</v>
      </c>
      <c r="J374" s="13" t="str">
        <f t="shared" si="5"/>
        <v>OK</v>
      </c>
    </row>
    <row r="375">
      <c r="A375" s="4">
        <v>8.3785632E9</v>
      </c>
      <c r="B375" s="10">
        <v>42479.0</v>
      </c>
      <c r="C375" s="4" t="str">
        <f t="shared" si="1"/>
        <v>837856320042479</v>
      </c>
      <c r="D375" s="4">
        <v>1.0</v>
      </c>
      <c r="E375" s="4">
        <v>387.0</v>
      </c>
      <c r="F375" s="11">
        <f t="shared" si="2"/>
        <v>0.26875</v>
      </c>
      <c r="G375" s="4">
        <v>421.0</v>
      </c>
      <c r="H375" s="11">
        <f t="shared" si="3"/>
        <v>0.2923611111</v>
      </c>
      <c r="I375" s="12">
        <f t="shared" si="4"/>
        <v>0.919239905</v>
      </c>
      <c r="J375" s="13" t="str">
        <f t="shared" si="5"/>
        <v>OK</v>
      </c>
    </row>
    <row r="376">
      <c r="A376" s="4">
        <v>8.3785632E9</v>
      </c>
      <c r="B376" s="10">
        <v>42480.0</v>
      </c>
      <c r="C376" s="4" t="str">
        <f t="shared" si="1"/>
        <v>837856320042480</v>
      </c>
      <c r="D376" s="4">
        <v>1.0</v>
      </c>
      <c r="E376" s="4">
        <v>381.0</v>
      </c>
      <c r="F376" s="11">
        <f t="shared" si="2"/>
        <v>0.2645833333</v>
      </c>
      <c r="G376" s="4">
        <v>409.0</v>
      </c>
      <c r="H376" s="11">
        <f t="shared" si="3"/>
        <v>0.2840277778</v>
      </c>
      <c r="I376" s="12">
        <f t="shared" si="4"/>
        <v>0.9315403423</v>
      </c>
      <c r="J376" s="13" t="str">
        <f t="shared" si="5"/>
        <v>OK</v>
      </c>
    </row>
    <row r="377">
      <c r="A377" s="4">
        <v>8.3785632E9</v>
      </c>
      <c r="B377" s="10">
        <v>42481.0</v>
      </c>
      <c r="C377" s="4" t="str">
        <f t="shared" si="1"/>
        <v>837856320042481</v>
      </c>
      <c r="D377" s="4">
        <v>1.0</v>
      </c>
      <c r="E377" s="4">
        <v>396.0</v>
      </c>
      <c r="F377" s="11">
        <f t="shared" si="2"/>
        <v>0.275</v>
      </c>
      <c r="G377" s="4">
        <v>417.0</v>
      </c>
      <c r="H377" s="11">
        <f t="shared" si="3"/>
        <v>0.2895833333</v>
      </c>
      <c r="I377" s="12">
        <f t="shared" si="4"/>
        <v>0.9496402878</v>
      </c>
      <c r="J377" s="13" t="str">
        <f t="shared" si="5"/>
        <v>OK</v>
      </c>
    </row>
    <row r="378">
      <c r="A378" s="4">
        <v>8.3785632E9</v>
      </c>
      <c r="B378" s="10">
        <v>42482.0</v>
      </c>
      <c r="C378" s="4" t="str">
        <f t="shared" si="1"/>
        <v>837856320042482</v>
      </c>
      <c r="D378" s="4">
        <v>1.0</v>
      </c>
      <c r="E378" s="4">
        <v>441.0</v>
      </c>
      <c r="F378" s="11">
        <f t="shared" si="2"/>
        <v>0.30625</v>
      </c>
      <c r="G378" s="4">
        <v>469.0</v>
      </c>
      <c r="H378" s="11">
        <f t="shared" si="3"/>
        <v>0.3256944444</v>
      </c>
      <c r="I378" s="12">
        <f t="shared" si="4"/>
        <v>0.9402985075</v>
      </c>
      <c r="J378" s="13" t="str">
        <f t="shared" si="5"/>
        <v>OK</v>
      </c>
    </row>
    <row r="379">
      <c r="A379" s="4">
        <v>8.3785632E9</v>
      </c>
      <c r="B379" s="10">
        <v>42483.0</v>
      </c>
      <c r="C379" s="4" t="str">
        <f t="shared" si="1"/>
        <v>837856320042483</v>
      </c>
      <c r="D379" s="4">
        <v>1.0</v>
      </c>
      <c r="E379" s="4">
        <v>565.0</v>
      </c>
      <c r="F379" s="11">
        <f t="shared" si="2"/>
        <v>0.3923611111</v>
      </c>
      <c r="G379" s="4">
        <v>591.0</v>
      </c>
      <c r="H379" s="11">
        <f t="shared" si="3"/>
        <v>0.4104166667</v>
      </c>
      <c r="I379" s="12">
        <f t="shared" si="4"/>
        <v>0.9560067682</v>
      </c>
      <c r="J379" s="13" t="str">
        <f t="shared" si="5"/>
        <v>HIGH</v>
      </c>
    </row>
    <row r="380">
      <c r="A380" s="4">
        <v>8.3785632E9</v>
      </c>
      <c r="B380" s="10">
        <v>42484.0</v>
      </c>
      <c r="C380" s="4" t="str">
        <f t="shared" si="1"/>
        <v>837856320042484</v>
      </c>
      <c r="D380" s="4">
        <v>1.0</v>
      </c>
      <c r="E380" s="4">
        <v>458.0</v>
      </c>
      <c r="F380" s="11">
        <f t="shared" si="2"/>
        <v>0.3180555556</v>
      </c>
      <c r="G380" s="4">
        <v>492.0</v>
      </c>
      <c r="H380" s="11">
        <f t="shared" si="3"/>
        <v>0.3416666667</v>
      </c>
      <c r="I380" s="12">
        <f t="shared" si="4"/>
        <v>0.9308943089</v>
      </c>
      <c r="J380" s="13" t="str">
        <f t="shared" si="5"/>
        <v>OK</v>
      </c>
    </row>
    <row r="381">
      <c r="A381" s="4">
        <v>8.3785632E9</v>
      </c>
      <c r="B381" s="10">
        <v>42485.0</v>
      </c>
      <c r="C381" s="4" t="str">
        <f t="shared" si="1"/>
        <v>837856320042485</v>
      </c>
      <c r="D381" s="4">
        <v>1.0</v>
      </c>
      <c r="E381" s="4">
        <v>388.0</v>
      </c>
      <c r="F381" s="11">
        <f t="shared" si="2"/>
        <v>0.2694444444</v>
      </c>
      <c r="G381" s="4">
        <v>402.0</v>
      </c>
      <c r="H381" s="11">
        <f t="shared" si="3"/>
        <v>0.2791666667</v>
      </c>
      <c r="I381" s="12">
        <f t="shared" si="4"/>
        <v>0.9651741294</v>
      </c>
      <c r="J381" s="13" t="str">
        <f t="shared" si="5"/>
        <v>OK</v>
      </c>
    </row>
    <row r="382">
      <c r="A382" s="4">
        <v>8.3785632E9</v>
      </c>
      <c r="B382" s="10">
        <v>42485.0</v>
      </c>
      <c r="C382" s="4" t="str">
        <f t="shared" si="1"/>
        <v>837856320042485</v>
      </c>
      <c r="D382" s="4">
        <v>1.0</v>
      </c>
      <c r="E382" s="4">
        <v>388.0</v>
      </c>
      <c r="F382" s="11">
        <f t="shared" si="2"/>
        <v>0.2694444444</v>
      </c>
      <c r="G382" s="4">
        <v>402.0</v>
      </c>
      <c r="H382" s="11">
        <f t="shared" si="3"/>
        <v>0.2791666667</v>
      </c>
      <c r="I382" s="12">
        <f t="shared" si="4"/>
        <v>0.9651741294</v>
      </c>
      <c r="J382" s="13" t="str">
        <f t="shared" si="5"/>
        <v>OK</v>
      </c>
    </row>
    <row r="383">
      <c r="A383" s="4">
        <v>8.3785632E9</v>
      </c>
      <c r="B383" s="10">
        <v>42486.0</v>
      </c>
      <c r="C383" s="4" t="str">
        <f t="shared" si="1"/>
        <v>837856320042486</v>
      </c>
      <c r="D383" s="4">
        <v>1.0</v>
      </c>
      <c r="E383" s="4">
        <v>550.0</v>
      </c>
      <c r="F383" s="11">
        <f t="shared" si="2"/>
        <v>0.3819444444</v>
      </c>
      <c r="G383" s="4">
        <v>584.0</v>
      </c>
      <c r="H383" s="11">
        <f t="shared" si="3"/>
        <v>0.4055555556</v>
      </c>
      <c r="I383" s="12">
        <f t="shared" si="4"/>
        <v>0.9417808219</v>
      </c>
      <c r="J383" s="13" t="str">
        <f t="shared" si="5"/>
        <v>HIGH</v>
      </c>
    </row>
    <row r="384">
      <c r="A384" s="4">
        <v>8.3785632E9</v>
      </c>
      <c r="B384" s="10">
        <v>42487.0</v>
      </c>
      <c r="C384" s="4" t="str">
        <f t="shared" si="1"/>
        <v>837856320042487</v>
      </c>
      <c r="D384" s="4">
        <v>1.0</v>
      </c>
      <c r="E384" s="4">
        <v>531.0</v>
      </c>
      <c r="F384" s="11">
        <f t="shared" si="2"/>
        <v>0.36875</v>
      </c>
      <c r="G384" s="4">
        <v>600.0</v>
      </c>
      <c r="H384" s="11">
        <f t="shared" si="3"/>
        <v>0.4166666667</v>
      </c>
      <c r="I384" s="12">
        <f t="shared" si="4"/>
        <v>0.885</v>
      </c>
      <c r="J384" s="13" t="str">
        <f t="shared" si="5"/>
        <v>HIGH</v>
      </c>
    </row>
    <row r="385">
      <c r="A385" s="4">
        <v>8.3785632E9</v>
      </c>
      <c r="B385" s="10">
        <v>42488.0</v>
      </c>
      <c r="C385" s="4" t="str">
        <f t="shared" si="1"/>
        <v>837856320042488</v>
      </c>
      <c r="D385" s="4">
        <v>1.0</v>
      </c>
      <c r="E385" s="4">
        <v>506.0</v>
      </c>
      <c r="F385" s="11">
        <f t="shared" si="2"/>
        <v>0.3513888889</v>
      </c>
      <c r="G385" s="4">
        <v>556.0</v>
      </c>
      <c r="H385" s="11">
        <f t="shared" si="3"/>
        <v>0.3861111111</v>
      </c>
      <c r="I385" s="12">
        <f t="shared" si="4"/>
        <v>0.9100719424</v>
      </c>
      <c r="J385" s="13" t="str">
        <f t="shared" si="5"/>
        <v>HIGH</v>
      </c>
    </row>
    <row r="386">
      <c r="A386" s="4">
        <v>8.3785632E9</v>
      </c>
      <c r="B386" s="10">
        <v>42489.0</v>
      </c>
      <c r="C386" s="4" t="str">
        <f t="shared" si="1"/>
        <v>837856320042489</v>
      </c>
      <c r="D386" s="4">
        <v>1.0</v>
      </c>
      <c r="E386" s="4">
        <v>527.0</v>
      </c>
      <c r="F386" s="11">
        <f t="shared" si="2"/>
        <v>0.3659722222</v>
      </c>
      <c r="G386" s="4">
        <v>562.0</v>
      </c>
      <c r="H386" s="11">
        <f t="shared" si="3"/>
        <v>0.3902777778</v>
      </c>
      <c r="I386" s="12">
        <f t="shared" si="4"/>
        <v>0.9377224199</v>
      </c>
      <c r="J386" s="13" t="str">
        <f t="shared" si="5"/>
        <v>HIGH</v>
      </c>
    </row>
    <row r="387">
      <c r="A387" s="4">
        <v>8.3785632E9</v>
      </c>
      <c r="B387" s="10">
        <v>42490.0</v>
      </c>
      <c r="C387" s="4" t="str">
        <f t="shared" si="1"/>
        <v>837856320042490</v>
      </c>
      <c r="D387" s="4">
        <v>1.0</v>
      </c>
      <c r="E387" s="4">
        <v>468.0</v>
      </c>
      <c r="F387" s="11">
        <f t="shared" si="2"/>
        <v>0.325</v>
      </c>
      <c r="G387" s="4">
        <v>555.0</v>
      </c>
      <c r="H387" s="11">
        <f t="shared" si="3"/>
        <v>0.3854166667</v>
      </c>
      <c r="I387" s="12">
        <f t="shared" si="4"/>
        <v>0.8432432432</v>
      </c>
      <c r="J387" s="13" t="str">
        <f t="shared" si="5"/>
        <v>OK</v>
      </c>
    </row>
    <row r="388">
      <c r="A388" s="4">
        <v>8.3785632E9</v>
      </c>
      <c r="B388" s="10">
        <v>42491.0</v>
      </c>
      <c r="C388" s="4" t="str">
        <f t="shared" si="1"/>
        <v>837856320042491</v>
      </c>
      <c r="D388" s="4">
        <v>1.0</v>
      </c>
      <c r="E388" s="4">
        <v>475.0</v>
      </c>
      <c r="F388" s="11">
        <f t="shared" si="2"/>
        <v>0.3298611111</v>
      </c>
      <c r="G388" s="4">
        <v>539.0</v>
      </c>
      <c r="H388" s="11">
        <f t="shared" si="3"/>
        <v>0.3743055556</v>
      </c>
      <c r="I388" s="12">
        <f t="shared" si="4"/>
        <v>0.8812615955</v>
      </c>
      <c r="J388" s="13" t="str">
        <f t="shared" si="5"/>
        <v>OK</v>
      </c>
    </row>
    <row r="389">
      <c r="A389" s="4">
        <v>8.3785632E9</v>
      </c>
      <c r="B389" s="10">
        <v>42492.0</v>
      </c>
      <c r="C389" s="4" t="str">
        <f t="shared" si="1"/>
        <v>837856320042492</v>
      </c>
      <c r="D389" s="4">
        <v>1.0</v>
      </c>
      <c r="E389" s="4">
        <v>351.0</v>
      </c>
      <c r="F389" s="11">
        <f t="shared" si="2"/>
        <v>0.24375</v>
      </c>
      <c r="G389" s="4">
        <v>385.0</v>
      </c>
      <c r="H389" s="11">
        <f t="shared" si="3"/>
        <v>0.2673611111</v>
      </c>
      <c r="I389" s="12">
        <f t="shared" si="4"/>
        <v>0.9116883117</v>
      </c>
      <c r="J389" s="13" t="str">
        <f t="shared" si="5"/>
        <v>LOW</v>
      </c>
    </row>
    <row r="390">
      <c r="A390" s="4">
        <v>8.3785632E9</v>
      </c>
      <c r="B390" s="10">
        <v>42493.0</v>
      </c>
      <c r="C390" s="4" t="str">
        <f t="shared" si="1"/>
        <v>837856320042493</v>
      </c>
      <c r="D390" s="4">
        <v>1.0</v>
      </c>
      <c r="E390" s="4">
        <v>405.0</v>
      </c>
      <c r="F390" s="11">
        <f t="shared" si="2"/>
        <v>0.28125</v>
      </c>
      <c r="G390" s="4">
        <v>429.0</v>
      </c>
      <c r="H390" s="11">
        <f t="shared" si="3"/>
        <v>0.2979166667</v>
      </c>
      <c r="I390" s="12">
        <f t="shared" si="4"/>
        <v>0.9440559441</v>
      </c>
      <c r="J390" s="13" t="str">
        <f t="shared" si="5"/>
        <v>OK</v>
      </c>
    </row>
    <row r="391">
      <c r="A391" s="4">
        <v>8.3785632E9</v>
      </c>
      <c r="B391" s="10">
        <v>42494.0</v>
      </c>
      <c r="C391" s="4" t="str">
        <f t="shared" si="1"/>
        <v>837856320042494</v>
      </c>
      <c r="D391" s="4">
        <v>1.0</v>
      </c>
      <c r="E391" s="4">
        <v>441.0</v>
      </c>
      <c r="F391" s="11">
        <f t="shared" si="2"/>
        <v>0.30625</v>
      </c>
      <c r="G391" s="4">
        <v>477.0</v>
      </c>
      <c r="H391" s="11">
        <f t="shared" si="3"/>
        <v>0.33125</v>
      </c>
      <c r="I391" s="12">
        <f t="shared" si="4"/>
        <v>0.9245283019</v>
      </c>
      <c r="J391" s="13" t="str">
        <f t="shared" si="5"/>
        <v>OK</v>
      </c>
    </row>
    <row r="392">
      <c r="A392" s="4">
        <v>8.3785632E9</v>
      </c>
      <c r="B392" s="10">
        <v>42495.0</v>
      </c>
      <c r="C392" s="4" t="str">
        <f t="shared" si="1"/>
        <v>837856320042495</v>
      </c>
      <c r="D392" s="4">
        <v>1.0</v>
      </c>
      <c r="E392" s="4">
        <v>381.0</v>
      </c>
      <c r="F392" s="11">
        <f t="shared" si="2"/>
        <v>0.2645833333</v>
      </c>
      <c r="G392" s="4">
        <v>417.0</v>
      </c>
      <c r="H392" s="11">
        <f t="shared" si="3"/>
        <v>0.2895833333</v>
      </c>
      <c r="I392" s="12">
        <f t="shared" si="4"/>
        <v>0.9136690647</v>
      </c>
      <c r="J392" s="13" t="str">
        <f t="shared" si="5"/>
        <v>OK</v>
      </c>
    </row>
    <row r="393">
      <c r="A393" s="4">
        <v>8.3785632E9</v>
      </c>
      <c r="B393" s="10">
        <v>42496.0</v>
      </c>
      <c r="C393" s="4" t="str">
        <f t="shared" si="1"/>
        <v>837856320042496</v>
      </c>
      <c r="D393" s="4">
        <v>1.0</v>
      </c>
      <c r="E393" s="4">
        <v>323.0</v>
      </c>
      <c r="F393" s="11">
        <f t="shared" si="2"/>
        <v>0.2243055556</v>
      </c>
      <c r="G393" s="4">
        <v>355.0</v>
      </c>
      <c r="H393" s="11">
        <f t="shared" si="3"/>
        <v>0.2465277778</v>
      </c>
      <c r="I393" s="12">
        <f t="shared" si="4"/>
        <v>0.9098591549</v>
      </c>
      <c r="J393" s="13" t="str">
        <f t="shared" si="5"/>
        <v>LOW</v>
      </c>
    </row>
    <row r="394">
      <c r="A394" s="4">
        <v>8.3785632E9</v>
      </c>
      <c r="B394" s="10">
        <v>42497.0</v>
      </c>
      <c r="C394" s="4" t="str">
        <f t="shared" si="1"/>
        <v>837856320042497</v>
      </c>
      <c r="D394" s="4">
        <v>2.0</v>
      </c>
      <c r="E394" s="4">
        <v>459.0</v>
      </c>
      <c r="F394" s="11">
        <f t="shared" si="2"/>
        <v>0.31875</v>
      </c>
      <c r="G394" s="4">
        <v>513.0</v>
      </c>
      <c r="H394" s="11">
        <f t="shared" si="3"/>
        <v>0.35625</v>
      </c>
      <c r="I394" s="12">
        <f t="shared" si="4"/>
        <v>0.8947368421</v>
      </c>
      <c r="J394" s="13" t="str">
        <f t="shared" si="5"/>
        <v>OK</v>
      </c>
    </row>
    <row r="395">
      <c r="A395" s="4">
        <v>8.3785632E9</v>
      </c>
      <c r="B395" s="10">
        <v>42498.0</v>
      </c>
      <c r="C395" s="4" t="str">
        <f t="shared" si="1"/>
        <v>837856320042498</v>
      </c>
      <c r="D395" s="4">
        <v>1.0</v>
      </c>
      <c r="E395" s="4">
        <v>545.0</v>
      </c>
      <c r="F395" s="11">
        <f t="shared" si="2"/>
        <v>0.3784722222</v>
      </c>
      <c r="G395" s="4">
        <v>606.0</v>
      </c>
      <c r="H395" s="11">
        <f t="shared" si="3"/>
        <v>0.4208333333</v>
      </c>
      <c r="I395" s="12">
        <f t="shared" si="4"/>
        <v>0.899339934</v>
      </c>
      <c r="J395" s="13" t="str">
        <f t="shared" si="5"/>
        <v>HIGH</v>
      </c>
    </row>
    <row r="396">
      <c r="A396" s="4">
        <v>8.3785632E9</v>
      </c>
      <c r="B396" s="10">
        <v>42499.0</v>
      </c>
      <c r="C396" s="4" t="str">
        <f t="shared" si="1"/>
        <v>837856320042499</v>
      </c>
      <c r="D396" s="4">
        <v>1.0</v>
      </c>
      <c r="E396" s="4">
        <v>359.0</v>
      </c>
      <c r="F396" s="11">
        <f t="shared" si="2"/>
        <v>0.2493055556</v>
      </c>
      <c r="G396" s="4">
        <v>399.0</v>
      </c>
      <c r="H396" s="11">
        <f t="shared" si="3"/>
        <v>0.2770833333</v>
      </c>
      <c r="I396" s="12">
        <f t="shared" si="4"/>
        <v>0.8997493734</v>
      </c>
      <c r="J396" s="13" t="str">
        <f t="shared" si="5"/>
        <v>LOW</v>
      </c>
    </row>
    <row r="397">
      <c r="A397" s="4">
        <v>8.3785632E9</v>
      </c>
      <c r="B397" s="10">
        <v>42500.0</v>
      </c>
      <c r="C397" s="4" t="str">
        <f t="shared" si="1"/>
        <v>837856320042500</v>
      </c>
      <c r="D397" s="4">
        <v>1.0</v>
      </c>
      <c r="E397" s="4">
        <v>342.0</v>
      </c>
      <c r="F397" s="11">
        <f t="shared" si="2"/>
        <v>0.2375</v>
      </c>
      <c r="G397" s="4">
        <v>391.0</v>
      </c>
      <c r="H397" s="11">
        <f t="shared" si="3"/>
        <v>0.2715277778</v>
      </c>
      <c r="I397" s="12">
        <f t="shared" si="4"/>
        <v>0.8746803069</v>
      </c>
      <c r="J397" s="13" t="str">
        <f t="shared" si="5"/>
        <v>LOW</v>
      </c>
    </row>
    <row r="398">
      <c r="A398" s="4">
        <v>8.3785632E9</v>
      </c>
      <c r="B398" s="10">
        <v>42501.0</v>
      </c>
      <c r="C398" s="4" t="str">
        <f t="shared" si="1"/>
        <v>837856320042501</v>
      </c>
      <c r="D398" s="4">
        <v>1.0</v>
      </c>
      <c r="E398" s="4">
        <v>368.0</v>
      </c>
      <c r="F398" s="11">
        <f t="shared" si="2"/>
        <v>0.2555555556</v>
      </c>
      <c r="G398" s="4">
        <v>387.0</v>
      </c>
      <c r="H398" s="11">
        <f t="shared" si="3"/>
        <v>0.26875</v>
      </c>
      <c r="I398" s="12">
        <f t="shared" si="4"/>
        <v>0.9509043928</v>
      </c>
      <c r="J398" s="13" t="str">
        <f t="shared" si="5"/>
        <v>OK</v>
      </c>
    </row>
    <row r="399">
      <c r="A399" s="4">
        <v>8.3785632E9</v>
      </c>
      <c r="B399" s="10">
        <v>42502.0</v>
      </c>
      <c r="C399" s="4" t="str">
        <f t="shared" si="1"/>
        <v>837856320042502</v>
      </c>
      <c r="D399" s="4">
        <v>1.0</v>
      </c>
      <c r="E399" s="4">
        <v>496.0</v>
      </c>
      <c r="F399" s="11">
        <f t="shared" si="2"/>
        <v>0.3444444444</v>
      </c>
      <c r="G399" s="4">
        <v>546.0</v>
      </c>
      <c r="H399" s="11">
        <f t="shared" si="3"/>
        <v>0.3791666667</v>
      </c>
      <c r="I399" s="12">
        <f t="shared" si="4"/>
        <v>0.9084249084</v>
      </c>
      <c r="J399" s="13" t="str">
        <f t="shared" si="5"/>
        <v>HIGH</v>
      </c>
    </row>
    <row r="400">
      <c r="A400" s="4">
        <v>8.792009665E9</v>
      </c>
      <c r="B400" s="10">
        <v>42472.0</v>
      </c>
      <c r="C400" s="4" t="str">
        <f t="shared" si="1"/>
        <v>879200966542472</v>
      </c>
      <c r="D400" s="4">
        <v>1.0</v>
      </c>
      <c r="E400" s="4">
        <v>458.0</v>
      </c>
      <c r="F400" s="11">
        <f t="shared" si="2"/>
        <v>0.3180555556</v>
      </c>
      <c r="G400" s="4">
        <v>493.0</v>
      </c>
      <c r="H400" s="11">
        <f t="shared" si="3"/>
        <v>0.3423611111</v>
      </c>
      <c r="I400" s="12">
        <f t="shared" si="4"/>
        <v>0.9290060852</v>
      </c>
      <c r="J400" s="13" t="str">
        <f t="shared" si="5"/>
        <v>OK</v>
      </c>
    </row>
    <row r="401">
      <c r="A401" s="4">
        <v>8.792009665E9</v>
      </c>
      <c r="B401" s="10">
        <v>42473.0</v>
      </c>
      <c r="C401" s="4" t="str">
        <f t="shared" si="1"/>
        <v>879200966542473</v>
      </c>
      <c r="D401" s="4">
        <v>1.0</v>
      </c>
      <c r="E401" s="4">
        <v>531.0</v>
      </c>
      <c r="F401" s="11">
        <f t="shared" si="2"/>
        <v>0.36875</v>
      </c>
      <c r="G401" s="4">
        <v>552.0</v>
      </c>
      <c r="H401" s="11">
        <f t="shared" si="3"/>
        <v>0.3833333333</v>
      </c>
      <c r="I401" s="12">
        <f t="shared" si="4"/>
        <v>0.9619565217</v>
      </c>
      <c r="J401" s="13" t="str">
        <f t="shared" si="5"/>
        <v>HIGH</v>
      </c>
    </row>
    <row r="402">
      <c r="A402" s="4">
        <v>8.792009665E9</v>
      </c>
      <c r="B402" s="10">
        <v>42474.0</v>
      </c>
      <c r="C402" s="4" t="str">
        <f t="shared" si="1"/>
        <v>879200966542474</v>
      </c>
      <c r="D402" s="4">
        <v>1.0</v>
      </c>
      <c r="E402" s="4">
        <v>486.0</v>
      </c>
      <c r="F402" s="11">
        <f t="shared" si="2"/>
        <v>0.3375</v>
      </c>
      <c r="G402" s="4">
        <v>503.0</v>
      </c>
      <c r="H402" s="11">
        <f t="shared" si="3"/>
        <v>0.3493055556</v>
      </c>
      <c r="I402" s="12">
        <f t="shared" si="4"/>
        <v>0.9662027833</v>
      </c>
      <c r="J402" s="13" t="str">
        <f t="shared" si="5"/>
        <v>HIGH</v>
      </c>
    </row>
    <row r="403">
      <c r="A403" s="4">
        <v>8.792009665E9</v>
      </c>
      <c r="B403" s="10">
        <v>42475.0</v>
      </c>
      <c r="C403" s="4" t="str">
        <f t="shared" si="1"/>
        <v>879200966542475</v>
      </c>
      <c r="D403" s="4">
        <v>1.0</v>
      </c>
      <c r="E403" s="4">
        <v>363.0</v>
      </c>
      <c r="F403" s="11">
        <f t="shared" si="2"/>
        <v>0.2520833333</v>
      </c>
      <c r="G403" s="4">
        <v>377.0</v>
      </c>
      <c r="H403" s="11">
        <f t="shared" si="3"/>
        <v>0.2618055556</v>
      </c>
      <c r="I403" s="12">
        <f t="shared" si="4"/>
        <v>0.9628647215</v>
      </c>
      <c r="J403" s="13" t="str">
        <f t="shared" si="5"/>
        <v>OK</v>
      </c>
    </row>
    <row r="404">
      <c r="A404" s="4">
        <v>8.792009665E9</v>
      </c>
      <c r="B404" s="10">
        <v>42480.0</v>
      </c>
      <c r="C404" s="4" t="str">
        <f t="shared" si="1"/>
        <v>879200966542480</v>
      </c>
      <c r="D404" s="4">
        <v>1.0</v>
      </c>
      <c r="E404" s="4">
        <v>528.0</v>
      </c>
      <c r="F404" s="11">
        <f t="shared" si="2"/>
        <v>0.3666666667</v>
      </c>
      <c r="G404" s="4">
        <v>547.0</v>
      </c>
      <c r="H404" s="11">
        <f t="shared" si="3"/>
        <v>0.3798611111</v>
      </c>
      <c r="I404" s="12">
        <f t="shared" si="4"/>
        <v>0.9652650823</v>
      </c>
      <c r="J404" s="13" t="str">
        <f t="shared" si="5"/>
        <v>HIGH</v>
      </c>
    </row>
    <row r="405">
      <c r="A405" s="4">
        <v>8.792009665E9</v>
      </c>
      <c r="B405" s="10">
        <v>42482.0</v>
      </c>
      <c r="C405" s="4" t="str">
        <f t="shared" si="1"/>
        <v>879200966542482</v>
      </c>
      <c r="D405" s="4">
        <v>1.0</v>
      </c>
      <c r="E405" s="4">
        <v>391.0</v>
      </c>
      <c r="F405" s="11">
        <f t="shared" si="2"/>
        <v>0.2715277778</v>
      </c>
      <c r="G405" s="4">
        <v>407.0</v>
      </c>
      <c r="H405" s="11">
        <f t="shared" si="3"/>
        <v>0.2826388889</v>
      </c>
      <c r="I405" s="12">
        <f t="shared" si="4"/>
        <v>0.9606879607</v>
      </c>
      <c r="J405" s="13" t="str">
        <f t="shared" si="5"/>
        <v>OK</v>
      </c>
    </row>
    <row r="406">
      <c r="A406" s="4">
        <v>8.792009665E9</v>
      </c>
      <c r="B406" s="10">
        <v>42483.0</v>
      </c>
      <c r="C406" s="4" t="str">
        <f t="shared" si="1"/>
        <v>879200966542483</v>
      </c>
      <c r="D406" s="4">
        <v>1.0</v>
      </c>
      <c r="E406" s="4">
        <v>339.0</v>
      </c>
      <c r="F406" s="11">
        <f t="shared" si="2"/>
        <v>0.2354166667</v>
      </c>
      <c r="G406" s="4">
        <v>360.0</v>
      </c>
      <c r="H406" s="11">
        <f t="shared" si="3"/>
        <v>0.25</v>
      </c>
      <c r="I406" s="12">
        <f t="shared" si="4"/>
        <v>0.9416666667</v>
      </c>
      <c r="J406" s="13" t="str">
        <f t="shared" si="5"/>
        <v>LOW</v>
      </c>
    </row>
    <row r="407">
      <c r="A407" s="4">
        <v>8.792009665E9</v>
      </c>
      <c r="B407" s="10">
        <v>42487.0</v>
      </c>
      <c r="C407" s="4" t="str">
        <f t="shared" si="1"/>
        <v>879200966542487</v>
      </c>
      <c r="D407" s="4">
        <v>1.0</v>
      </c>
      <c r="E407" s="4">
        <v>423.0</v>
      </c>
      <c r="F407" s="11">
        <f t="shared" si="2"/>
        <v>0.29375</v>
      </c>
      <c r="G407" s="4">
        <v>428.0</v>
      </c>
      <c r="H407" s="11">
        <f t="shared" si="3"/>
        <v>0.2972222222</v>
      </c>
      <c r="I407" s="12">
        <f t="shared" si="4"/>
        <v>0.988317757</v>
      </c>
      <c r="J407" s="13" t="str">
        <f t="shared" si="5"/>
        <v>OK</v>
      </c>
    </row>
    <row r="408">
      <c r="A408" s="4">
        <v>8.792009665E9</v>
      </c>
      <c r="B408" s="10">
        <v>42488.0</v>
      </c>
      <c r="C408" s="4" t="str">
        <f t="shared" si="1"/>
        <v>879200966542488</v>
      </c>
      <c r="D408" s="4">
        <v>1.0</v>
      </c>
      <c r="E408" s="4">
        <v>402.0</v>
      </c>
      <c r="F408" s="11">
        <f t="shared" si="2"/>
        <v>0.2791666667</v>
      </c>
      <c r="G408" s="4">
        <v>416.0</v>
      </c>
      <c r="H408" s="11">
        <f t="shared" si="3"/>
        <v>0.2888888889</v>
      </c>
      <c r="I408" s="12">
        <f t="shared" si="4"/>
        <v>0.9663461538</v>
      </c>
      <c r="J408" s="13" t="str">
        <f t="shared" si="5"/>
        <v>OK</v>
      </c>
    </row>
    <row r="409">
      <c r="A409" s="4">
        <v>8.792009665E9</v>
      </c>
      <c r="B409" s="10">
        <v>42489.0</v>
      </c>
      <c r="C409" s="4" t="str">
        <f t="shared" si="1"/>
        <v>879200966542489</v>
      </c>
      <c r="D409" s="4">
        <v>1.0</v>
      </c>
      <c r="E409" s="4">
        <v>398.0</v>
      </c>
      <c r="F409" s="11">
        <f t="shared" si="2"/>
        <v>0.2763888889</v>
      </c>
      <c r="G409" s="4">
        <v>406.0</v>
      </c>
      <c r="H409" s="11">
        <f t="shared" si="3"/>
        <v>0.2819444444</v>
      </c>
      <c r="I409" s="12">
        <f t="shared" si="4"/>
        <v>0.9802955665</v>
      </c>
      <c r="J409" s="13" t="str">
        <f t="shared" si="5"/>
        <v>OK</v>
      </c>
    </row>
    <row r="410">
      <c r="A410" s="4">
        <v>8.792009665E9</v>
      </c>
      <c r="B410" s="10">
        <v>42490.0</v>
      </c>
      <c r="C410" s="4" t="str">
        <f t="shared" si="1"/>
        <v>879200966542490</v>
      </c>
      <c r="D410" s="4">
        <v>1.0</v>
      </c>
      <c r="E410" s="4">
        <v>343.0</v>
      </c>
      <c r="F410" s="11">
        <f t="shared" si="2"/>
        <v>0.2381944444</v>
      </c>
      <c r="G410" s="4">
        <v>360.0</v>
      </c>
      <c r="H410" s="11">
        <f t="shared" si="3"/>
        <v>0.25</v>
      </c>
      <c r="I410" s="12">
        <f t="shared" si="4"/>
        <v>0.9527777778</v>
      </c>
      <c r="J410" s="13" t="str">
        <f t="shared" si="5"/>
        <v>LOW</v>
      </c>
    </row>
    <row r="411">
      <c r="A411" s="4">
        <v>8.792009665E9</v>
      </c>
      <c r="B411" s="10">
        <v>42491.0</v>
      </c>
      <c r="C411" s="4" t="str">
        <f t="shared" si="1"/>
        <v>879200966542491</v>
      </c>
      <c r="D411" s="4">
        <v>1.0</v>
      </c>
      <c r="E411" s="4">
        <v>503.0</v>
      </c>
      <c r="F411" s="11">
        <f t="shared" si="2"/>
        <v>0.3493055556</v>
      </c>
      <c r="G411" s="4">
        <v>527.0</v>
      </c>
      <c r="H411" s="11">
        <f t="shared" si="3"/>
        <v>0.3659722222</v>
      </c>
      <c r="I411" s="12">
        <f t="shared" si="4"/>
        <v>0.954459203</v>
      </c>
      <c r="J411" s="13" t="str">
        <f t="shared" si="5"/>
        <v>HIGH</v>
      </c>
    </row>
    <row r="412">
      <c r="A412" s="4">
        <v>8.792009665E9</v>
      </c>
      <c r="B412" s="10">
        <v>42492.0</v>
      </c>
      <c r="C412" s="4" t="str">
        <f t="shared" si="1"/>
        <v>879200966542492</v>
      </c>
      <c r="D412" s="4">
        <v>1.0</v>
      </c>
      <c r="E412" s="4">
        <v>415.0</v>
      </c>
      <c r="F412" s="11">
        <f t="shared" si="2"/>
        <v>0.2881944444</v>
      </c>
      <c r="G412" s="4">
        <v>423.0</v>
      </c>
      <c r="H412" s="11">
        <f t="shared" si="3"/>
        <v>0.29375</v>
      </c>
      <c r="I412" s="12">
        <f t="shared" si="4"/>
        <v>0.9810874704</v>
      </c>
      <c r="J412" s="13" t="str">
        <f t="shared" si="5"/>
        <v>OK</v>
      </c>
    </row>
    <row r="413">
      <c r="A413" s="4">
        <v>8.792009665E9</v>
      </c>
      <c r="B413" s="10">
        <v>42493.0</v>
      </c>
      <c r="C413" s="4" t="str">
        <f t="shared" si="1"/>
        <v>879200966542493</v>
      </c>
      <c r="D413" s="4">
        <v>1.0</v>
      </c>
      <c r="E413" s="4">
        <v>516.0</v>
      </c>
      <c r="F413" s="11">
        <f t="shared" si="2"/>
        <v>0.3583333333</v>
      </c>
      <c r="G413" s="4">
        <v>545.0</v>
      </c>
      <c r="H413" s="11">
        <f t="shared" si="3"/>
        <v>0.3784722222</v>
      </c>
      <c r="I413" s="12">
        <f t="shared" si="4"/>
        <v>0.9467889908</v>
      </c>
      <c r="J413" s="13" t="str">
        <f t="shared" si="5"/>
        <v>HIGH</v>
      </c>
    </row>
    <row r="414">
      <c r="A414" s="4">
        <v>8.792009665E9</v>
      </c>
      <c r="B414" s="10">
        <v>42494.0</v>
      </c>
      <c r="C414" s="4" t="str">
        <f t="shared" si="1"/>
        <v>879200966542494</v>
      </c>
      <c r="D414" s="4">
        <v>1.0</v>
      </c>
      <c r="E414" s="4">
        <v>439.0</v>
      </c>
      <c r="F414" s="11">
        <f t="shared" si="2"/>
        <v>0.3048611111</v>
      </c>
      <c r="G414" s="4">
        <v>463.0</v>
      </c>
      <c r="H414" s="11">
        <f t="shared" si="3"/>
        <v>0.3215277778</v>
      </c>
      <c r="I414" s="12">
        <f t="shared" si="4"/>
        <v>0.9481641469</v>
      </c>
      <c r="J414" s="13" t="str">
        <f t="shared" si="5"/>
        <v>OK</v>
      </c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</sheetData>
  <conditionalFormatting sqref="J1:K1000">
    <cfRule type="cellIs" dxfId="0" priority="1" operator="equal">
      <formula>"LOW"</formula>
    </cfRule>
  </conditionalFormatting>
  <conditionalFormatting sqref="J1:K1000">
    <cfRule type="cellIs" dxfId="1" priority="2" operator="equal">
      <formula>"OK"</formula>
    </cfRule>
  </conditionalFormatting>
  <conditionalFormatting sqref="J1:K1000">
    <cfRule type="cellIs" dxfId="2" priority="3" operator="equal">
      <formula>"HIGH"</formula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1" max="11" width="14.63"/>
  </cols>
  <sheetData>
    <row r="1">
      <c r="D1" s="19" t="s">
        <v>34</v>
      </c>
      <c r="E1" s="21" t="s">
        <v>35</v>
      </c>
    </row>
    <row r="2">
      <c r="D2" s="13" t="str">
        <f t="shared" ref="D2:D34" si="1">IF(B2&lt;5000, "LOW",IF(B2&lt;10000,"MEDIUM","HIGH"))</f>
        <v>HIGH</v>
      </c>
      <c r="E2" s="13">
        <f>IFERROR(__xludf.DUMMYFUNCTION("COUNTUNIQUEIFS(DailyActivity!B:B,DailyActivity!A:A,A2)"),31.0)</f>
        <v>31</v>
      </c>
    </row>
    <row r="3">
      <c r="D3" s="13" t="str">
        <f t="shared" si="1"/>
        <v>MEDIUM</v>
      </c>
      <c r="E3" s="13">
        <f>IFERROR(__xludf.DUMMYFUNCTION("COUNTUNIQUEIFS(DailyActivity!B:B,DailyActivity!A:A,A3)"),31.0)</f>
        <v>31</v>
      </c>
    </row>
    <row r="4">
      <c r="D4" s="13" t="str">
        <f t="shared" si="1"/>
        <v>MEDIUM</v>
      </c>
      <c r="E4" s="13">
        <f>IFERROR(__xludf.DUMMYFUNCTION("COUNTUNIQUEIFS(DailyActivity!B:B,DailyActivity!A:A,A4)"),30.0)</f>
        <v>30</v>
      </c>
    </row>
    <row r="5">
      <c r="D5" s="13" t="str">
        <f t="shared" si="1"/>
        <v>LOW</v>
      </c>
      <c r="E5" s="13">
        <f>IFERROR(__xludf.DUMMYFUNCTION("COUNTUNIQUEIFS(DailyActivity!B:B,DailyActivity!A:A,A5)"),31.0)</f>
        <v>31</v>
      </c>
    </row>
    <row r="6">
      <c r="D6" s="13" t="str">
        <f t="shared" si="1"/>
        <v>LOW</v>
      </c>
      <c r="E6" s="13">
        <f>IFERROR(__xludf.DUMMYFUNCTION("COUNTUNIQUEIFS(DailyActivity!B:B,DailyActivity!A:A,A6)"),31.0)</f>
        <v>31</v>
      </c>
    </row>
    <row r="7">
      <c r="D7" s="13" t="str">
        <f t="shared" si="1"/>
        <v>HIGH</v>
      </c>
      <c r="E7" s="13">
        <f>IFERROR(__xludf.DUMMYFUNCTION("COUNTUNIQUEIFS(DailyActivity!B:B,DailyActivity!A:A,A7)"),31.0)</f>
        <v>31</v>
      </c>
    </row>
    <row r="8">
      <c r="D8" s="13" t="str">
        <f t="shared" si="1"/>
        <v>MEDIUM</v>
      </c>
      <c r="E8" s="13">
        <f>IFERROR(__xludf.DUMMYFUNCTION("COUNTUNIQUEIFS(DailyActivity!B:B,DailyActivity!A:A,A8)"),31.0)</f>
        <v>31</v>
      </c>
      <c r="K8" s="22"/>
    </row>
    <row r="9">
      <c r="D9" s="13" t="str">
        <f t="shared" si="1"/>
        <v>LOW</v>
      </c>
      <c r="E9" s="13">
        <f>IFERROR(__xludf.DUMMYFUNCTION("COUNTUNIQUEIFS(DailyActivity!B:B,DailyActivity!A:A,A9)"),31.0)</f>
        <v>31</v>
      </c>
    </row>
    <row r="10">
      <c r="D10" s="13" t="str">
        <f t="shared" si="1"/>
        <v>MEDIUM</v>
      </c>
      <c r="E10" s="13">
        <f>IFERROR(__xludf.DUMMYFUNCTION("COUNTUNIQUEIFS(DailyActivity!B:B,DailyActivity!A:A,A10)"),18.0)</f>
        <v>18</v>
      </c>
    </row>
    <row r="11">
      <c r="D11" s="13" t="str">
        <f t="shared" si="1"/>
        <v>MEDIUM</v>
      </c>
      <c r="E11" s="13">
        <f>IFERROR(__xludf.DUMMYFUNCTION("COUNTUNIQUEIFS(DailyActivity!B:B,DailyActivity!A:A,A11)"),31.0)</f>
        <v>31</v>
      </c>
    </row>
    <row r="12">
      <c r="D12" s="13" t="str">
        <f t="shared" si="1"/>
        <v>MEDIUM</v>
      </c>
      <c r="E12" s="13">
        <f>IFERROR(__xludf.DUMMYFUNCTION("COUNTUNIQUEIFS(DailyActivity!B:B,DailyActivity!A:A,A12)"),20.0)</f>
        <v>20</v>
      </c>
    </row>
    <row r="13">
      <c r="D13" s="13" t="str">
        <f t="shared" si="1"/>
        <v>HIGH</v>
      </c>
      <c r="E13" s="13">
        <f>IFERROR(__xludf.DUMMYFUNCTION("COUNTUNIQUEIFS(DailyActivity!B:B,DailyActivity!A:A,A13)"),30.0)</f>
        <v>30</v>
      </c>
    </row>
    <row r="14">
      <c r="D14" s="13" t="str">
        <f t="shared" si="1"/>
        <v>LOW</v>
      </c>
      <c r="E14" s="13">
        <f>IFERROR(__xludf.DUMMYFUNCTION("COUNTUNIQUEIFS(DailyActivity!B:B,DailyActivity!A:A,A14)"),31.0)</f>
        <v>31</v>
      </c>
    </row>
    <row r="15">
      <c r="D15" s="13" t="str">
        <f t="shared" si="1"/>
        <v>LOW</v>
      </c>
      <c r="E15" s="13">
        <f>IFERROR(__xludf.DUMMYFUNCTION("COUNTUNIQUEIFS(DailyActivity!B:B,DailyActivity!A:A,A15)"),4.0)</f>
        <v>4</v>
      </c>
    </row>
    <row r="16">
      <c r="D16" s="13" t="str">
        <f t="shared" si="1"/>
        <v>MEDIUM</v>
      </c>
      <c r="E16" s="13">
        <f>IFERROR(__xludf.DUMMYFUNCTION("COUNTUNIQUEIFS(DailyActivity!B:B,DailyActivity!A:A,A16)"),31.0)</f>
        <v>31</v>
      </c>
    </row>
    <row r="17">
      <c r="D17" s="13" t="str">
        <f t="shared" si="1"/>
        <v>HIGH</v>
      </c>
      <c r="E17" s="13">
        <f>IFERROR(__xludf.DUMMYFUNCTION("COUNTUNIQUEIFS(DailyActivity!B:B,DailyActivity!A:A,A17)"),31.0)</f>
        <v>31</v>
      </c>
    </row>
    <row r="18">
      <c r="D18" s="13" t="str">
        <f t="shared" si="1"/>
        <v>LOW</v>
      </c>
      <c r="E18" s="13">
        <f>IFERROR(__xludf.DUMMYFUNCTION("COUNTUNIQUEIFS(DailyActivity!B:B,DailyActivity!A:A,A18)"),31.0)</f>
        <v>31</v>
      </c>
    </row>
    <row r="19">
      <c r="D19" s="13" t="str">
        <f t="shared" si="1"/>
        <v>MEDIUM</v>
      </c>
      <c r="E19" s="13">
        <f>IFERROR(__xludf.DUMMYFUNCTION("COUNTUNIQUEIFS(DailyActivity!B:B,DailyActivity!A:A,A19)"),31.0)</f>
        <v>31</v>
      </c>
    </row>
    <row r="20">
      <c r="D20" s="13" t="str">
        <f t="shared" si="1"/>
        <v>MEDIUM</v>
      </c>
      <c r="E20" s="13">
        <f>IFERROR(__xludf.DUMMYFUNCTION("COUNTUNIQUEIFS(DailyActivity!B:B,DailyActivity!A:A,A20)"),31.0)</f>
        <v>31</v>
      </c>
    </row>
    <row r="21">
      <c r="D21" s="13" t="str">
        <f t="shared" si="1"/>
        <v>MEDIUM</v>
      </c>
      <c r="E21" s="13">
        <f>IFERROR(__xludf.DUMMYFUNCTION("COUNTUNIQUEIFS(DailyActivity!B:B,DailyActivity!A:A,A21)"),31.0)</f>
        <v>31</v>
      </c>
    </row>
    <row r="22">
      <c r="D22" s="13" t="str">
        <f t="shared" si="1"/>
        <v>MEDIUM</v>
      </c>
      <c r="E22" s="13">
        <f>IFERROR(__xludf.DUMMYFUNCTION("COUNTUNIQUEIFS(DailyActivity!B:B,DailyActivity!A:A,A22)"),30.0)</f>
        <v>30</v>
      </c>
    </row>
    <row r="23">
      <c r="D23" s="13" t="str">
        <f t="shared" si="1"/>
        <v>MEDIUM</v>
      </c>
      <c r="E23" s="13">
        <f>IFERROR(__xludf.DUMMYFUNCTION("COUNTUNIQUEIFS(DailyActivity!B:B,DailyActivity!A:A,A23)"),28.0)</f>
        <v>28</v>
      </c>
    </row>
    <row r="24">
      <c r="D24" s="13" t="str">
        <f t="shared" si="1"/>
        <v>MEDIUM</v>
      </c>
      <c r="E24" s="13">
        <f>IFERROR(__xludf.DUMMYFUNCTION("COUNTUNIQUEIFS(DailyActivity!B:B,DailyActivity!A:A,A24)"),29.0)</f>
        <v>29</v>
      </c>
    </row>
    <row r="25">
      <c r="D25" s="13" t="str">
        <f t="shared" si="1"/>
        <v>LOW</v>
      </c>
      <c r="E25" s="13">
        <f>IFERROR(__xludf.DUMMYFUNCTION("COUNTUNIQUEIFS(DailyActivity!B:B,DailyActivity!A:A,A25)"),26.0)</f>
        <v>26</v>
      </c>
    </row>
    <row r="26">
      <c r="D26" s="13" t="str">
        <f t="shared" si="1"/>
        <v>MEDIUM</v>
      </c>
      <c r="E26" s="13">
        <f>IFERROR(__xludf.DUMMYFUNCTION("COUNTUNIQUEIFS(DailyActivity!B:B,DailyActivity!A:A,A26)"),31.0)</f>
        <v>31</v>
      </c>
    </row>
    <row r="27">
      <c r="D27" s="13" t="str">
        <f t="shared" si="1"/>
        <v>HIGH</v>
      </c>
      <c r="E27" s="13">
        <f>IFERROR(__xludf.DUMMYFUNCTION("COUNTUNIQUEIFS(DailyActivity!B:B,DailyActivity!A:A,A27)"),26.0)</f>
        <v>26</v>
      </c>
    </row>
    <row r="28">
      <c r="D28" s="13" t="str">
        <f t="shared" si="1"/>
        <v>MEDIUM</v>
      </c>
      <c r="E28" s="13">
        <f>IFERROR(__xludf.DUMMYFUNCTION("COUNTUNIQUEIFS(DailyActivity!B:B,DailyActivity!A:A,A28)"),31.0)</f>
        <v>31</v>
      </c>
    </row>
    <row r="29">
      <c r="D29" s="13" t="str">
        <f t="shared" si="1"/>
        <v>HIGH</v>
      </c>
      <c r="E29" s="13">
        <f>IFERROR(__xludf.DUMMYFUNCTION("COUNTUNIQUEIFS(DailyActivity!B:B,DailyActivity!A:A,A29)"),31.0)</f>
        <v>31</v>
      </c>
    </row>
    <row r="30">
      <c r="D30" s="13" t="str">
        <f t="shared" si="1"/>
        <v>MEDIUM</v>
      </c>
      <c r="E30" s="13">
        <f>IFERROR(__xludf.DUMMYFUNCTION("COUNTUNIQUEIFS(DailyActivity!B:B,DailyActivity!A:A,A30)"),19.0)</f>
        <v>19</v>
      </c>
    </row>
    <row r="31">
      <c r="D31" s="13" t="str">
        <f t="shared" si="1"/>
        <v>MEDIUM</v>
      </c>
      <c r="E31" s="13">
        <f>IFERROR(__xludf.DUMMYFUNCTION("COUNTUNIQUEIFS(DailyActivity!B:B,DailyActivity!A:A,A31)"),31.0)</f>
        <v>31</v>
      </c>
    </row>
    <row r="32">
      <c r="D32" s="13" t="str">
        <f t="shared" si="1"/>
        <v>MEDIUM</v>
      </c>
      <c r="E32" s="13">
        <f>IFERROR(__xludf.DUMMYFUNCTION("COUNTUNIQUEIFS(DailyActivity!B:B,DailyActivity!A:A,A32)"),31.0)</f>
        <v>31</v>
      </c>
    </row>
    <row r="33">
      <c r="D33" s="13" t="str">
        <f t="shared" si="1"/>
        <v>LOW</v>
      </c>
      <c r="E33" s="13">
        <f>IFERROR(__xludf.DUMMYFUNCTION("COUNTUNIQUEIFS(DailyActivity!B:B,DailyActivity!A:A,A33)"),29.0)</f>
        <v>29</v>
      </c>
    </row>
    <row r="34">
      <c r="D34" s="13" t="str">
        <f t="shared" si="1"/>
        <v>HIGH</v>
      </c>
      <c r="E34" s="13">
        <f>IFERROR(__xludf.DUMMYFUNCTION("COUNTUNIQUEIFS(DailyActivity!B:B,DailyActivity!A:A,A34)"),31.0)</f>
        <v>31</v>
      </c>
    </row>
    <row r="35"/>
    <row r="36">
      <c r="B36" s="22"/>
      <c r="C36" s="22"/>
    </row>
    <row r="37">
      <c r="B37" s="22"/>
      <c r="C37" s="22"/>
    </row>
    <row r="38">
      <c r="B38" s="22"/>
      <c r="C38" s="22"/>
    </row>
    <row r="39">
      <c r="B39" s="22"/>
      <c r="C39" s="22"/>
    </row>
    <row r="40">
      <c r="B40" s="22"/>
      <c r="C40" s="22"/>
    </row>
    <row r="41">
      <c r="B41" s="22"/>
      <c r="C41" s="22"/>
    </row>
    <row r="42">
      <c r="B42" s="22"/>
      <c r="C42" s="22"/>
    </row>
    <row r="43">
      <c r="B43" s="22"/>
      <c r="C43" s="22"/>
    </row>
    <row r="44">
      <c r="B44" s="22"/>
      <c r="C44" s="22"/>
    </row>
    <row r="45">
      <c r="B45" s="22"/>
      <c r="C45" s="22"/>
    </row>
    <row r="46">
      <c r="B46" s="22"/>
      <c r="C46" s="22"/>
    </row>
    <row r="47">
      <c r="B47" s="22"/>
      <c r="C47" s="22"/>
    </row>
    <row r="48">
      <c r="B48" s="22"/>
      <c r="C48" s="22"/>
    </row>
    <row r="49">
      <c r="B49" s="22"/>
      <c r="C49" s="22"/>
    </row>
    <row r="50">
      <c r="B50" s="22"/>
      <c r="C50" s="22"/>
    </row>
    <row r="51">
      <c r="B51" s="22"/>
      <c r="C51" s="22"/>
    </row>
    <row r="52">
      <c r="B52" s="22"/>
      <c r="C52" s="22"/>
    </row>
    <row r="53">
      <c r="B53" s="22"/>
      <c r="C53" s="22"/>
    </row>
    <row r="54">
      <c r="B54" s="22"/>
      <c r="C54" s="22"/>
    </row>
    <row r="55">
      <c r="B55" s="22"/>
      <c r="C55" s="22"/>
    </row>
    <row r="56">
      <c r="B56" s="22"/>
      <c r="C56" s="22"/>
    </row>
    <row r="57">
      <c r="B57" s="22"/>
      <c r="C57" s="22"/>
    </row>
    <row r="58">
      <c r="B58" s="22"/>
      <c r="C58" s="22"/>
    </row>
    <row r="59">
      <c r="B59" s="22"/>
      <c r="C59" s="22"/>
    </row>
    <row r="60">
      <c r="B60" s="22"/>
      <c r="C60" s="22"/>
    </row>
    <row r="61">
      <c r="B61" s="22"/>
      <c r="C61" s="22"/>
    </row>
    <row r="62">
      <c r="B62" s="22"/>
      <c r="C62" s="22"/>
    </row>
    <row r="63">
      <c r="B63" s="22"/>
      <c r="C63" s="22"/>
    </row>
    <row r="64">
      <c r="B64" s="22"/>
      <c r="C64" s="22"/>
    </row>
    <row r="65">
      <c r="B65" s="22"/>
      <c r="C65" s="22"/>
    </row>
    <row r="66">
      <c r="B66" s="22"/>
      <c r="C66" s="22"/>
    </row>
    <row r="67">
      <c r="B67" s="22"/>
      <c r="C67" s="22"/>
    </row>
    <row r="68">
      <c r="B68" s="22"/>
      <c r="C68" s="22"/>
    </row>
    <row r="69">
      <c r="B69" s="22"/>
      <c r="C69" s="22"/>
    </row>
    <row r="70">
      <c r="B70" s="22"/>
      <c r="C70" s="22"/>
    </row>
    <row r="71">
      <c r="B71" s="22"/>
      <c r="C71" s="22"/>
    </row>
    <row r="72">
      <c r="B72" s="22"/>
      <c r="C72" s="22"/>
    </row>
    <row r="73">
      <c r="B73" s="22"/>
      <c r="C73" s="22"/>
    </row>
    <row r="74">
      <c r="B74" s="22"/>
      <c r="C74" s="22"/>
    </row>
    <row r="75">
      <c r="B75" s="22"/>
      <c r="C75" s="22"/>
    </row>
    <row r="76">
      <c r="B76" s="22"/>
      <c r="C76" s="22"/>
    </row>
    <row r="77">
      <c r="B77" s="22"/>
      <c r="C77" s="22"/>
    </row>
    <row r="78">
      <c r="B78" s="22"/>
      <c r="C78" s="22"/>
    </row>
    <row r="79">
      <c r="B79" s="22"/>
      <c r="C79" s="22"/>
    </row>
    <row r="80">
      <c r="B80" s="22"/>
      <c r="C80" s="22"/>
    </row>
    <row r="81">
      <c r="B81" s="22"/>
      <c r="C81" s="22"/>
    </row>
    <row r="82">
      <c r="B82" s="22"/>
      <c r="C82" s="22"/>
    </row>
    <row r="83">
      <c r="B83" s="22"/>
      <c r="C83" s="22"/>
    </row>
    <row r="84">
      <c r="B84" s="22"/>
      <c r="C84" s="22"/>
    </row>
    <row r="85">
      <c r="B85" s="22"/>
      <c r="C85" s="22"/>
    </row>
    <row r="86">
      <c r="B86" s="22"/>
      <c r="C86" s="22"/>
    </row>
    <row r="87">
      <c r="B87" s="22"/>
      <c r="C87" s="22"/>
    </row>
    <row r="88">
      <c r="B88" s="22"/>
      <c r="C88" s="22"/>
    </row>
    <row r="89">
      <c r="B89" s="22"/>
      <c r="C89" s="22"/>
    </row>
    <row r="90">
      <c r="B90" s="22"/>
      <c r="C90" s="22"/>
    </row>
    <row r="91">
      <c r="B91" s="22"/>
      <c r="C91" s="22"/>
    </row>
    <row r="92">
      <c r="B92" s="22"/>
      <c r="C92" s="22"/>
    </row>
    <row r="93">
      <c r="B93" s="22"/>
      <c r="C93" s="22"/>
    </row>
    <row r="94">
      <c r="B94" s="22"/>
      <c r="C94" s="22"/>
    </row>
    <row r="95">
      <c r="B95" s="22"/>
      <c r="C95" s="22"/>
    </row>
    <row r="96">
      <c r="B96" s="22"/>
      <c r="C96" s="22"/>
    </row>
    <row r="97">
      <c r="B97" s="22"/>
      <c r="C97" s="22"/>
    </row>
    <row r="98">
      <c r="B98" s="22"/>
      <c r="C98" s="22"/>
    </row>
    <row r="99">
      <c r="B99" s="22"/>
      <c r="C99" s="22"/>
    </row>
    <row r="100">
      <c r="B100" s="22"/>
      <c r="C100" s="22"/>
    </row>
    <row r="101">
      <c r="B101" s="22"/>
      <c r="C101" s="22"/>
    </row>
    <row r="102">
      <c r="B102" s="22"/>
      <c r="C102" s="22"/>
    </row>
    <row r="103">
      <c r="B103" s="22"/>
      <c r="C103" s="22"/>
    </row>
    <row r="104">
      <c r="B104" s="22"/>
      <c r="C104" s="22"/>
    </row>
    <row r="105">
      <c r="B105" s="22"/>
      <c r="C105" s="22"/>
    </row>
    <row r="106">
      <c r="B106" s="22"/>
      <c r="C106" s="22"/>
    </row>
    <row r="107">
      <c r="B107" s="22"/>
      <c r="C107" s="22"/>
    </row>
    <row r="108">
      <c r="B108" s="22"/>
      <c r="C108" s="22"/>
    </row>
    <row r="109">
      <c r="B109" s="22"/>
      <c r="C109" s="22"/>
    </row>
    <row r="110">
      <c r="B110" s="22"/>
      <c r="C110" s="22"/>
    </row>
    <row r="111">
      <c r="B111" s="22"/>
      <c r="C111" s="22"/>
    </row>
    <row r="112">
      <c r="B112" s="22"/>
      <c r="C112" s="22"/>
    </row>
    <row r="113">
      <c r="B113" s="22"/>
      <c r="C113" s="22"/>
    </row>
    <row r="114">
      <c r="B114" s="22"/>
      <c r="C114" s="22"/>
    </row>
    <row r="115">
      <c r="B115" s="22"/>
      <c r="C115" s="22"/>
    </row>
    <row r="116">
      <c r="B116" s="22"/>
      <c r="C116" s="22"/>
    </row>
    <row r="117">
      <c r="B117" s="22"/>
      <c r="C117" s="22"/>
    </row>
    <row r="118">
      <c r="B118" s="22"/>
      <c r="C118" s="22"/>
    </row>
    <row r="119">
      <c r="B119" s="22"/>
      <c r="C119" s="22"/>
    </row>
    <row r="120">
      <c r="B120" s="22"/>
      <c r="C120" s="22"/>
    </row>
    <row r="121">
      <c r="B121" s="22"/>
      <c r="C121" s="22"/>
    </row>
    <row r="122">
      <c r="B122" s="22"/>
      <c r="C122" s="22"/>
    </row>
    <row r="123">
      <c r="B123" s="22"/>
      <c r="C123" s="22"/>
    </row>
    <row r="124">
      <c r="B124" s="22"/>
      <c r="C124" s="22"/>
    </row>
    <row r="125">
      <c r="B125" s="22"/>
      <c r="C125" s="22"/>
    </row>
    <row r="126">
      <c r="B126" s="22"/>
      <c r="C126" s="22"/>
    </row>
    <row r="127">
      <c r="B127" s="22"/>
      <c r="C127" s="22"/>
    </row>
    <row r="128">
      <c r="B128" s="22"/>
      <c r="C128" s="22"/>
    </row>
    <row r="129">
      <c r="B129" s="22"/>
      <c r="C129" s="22"/>
    </row>
    <row r="130">
      <c r="B130" s="22"/>
      <c r="C130" s="22"/>
    </row>
    <row r="131">
      <c r="B131" s="22"/>
      <c r="C131" s="22"/>
    </row>
    <row r="132">
      <c r="B132" s="22"/>
      <c r="C132" s="22"/>
    </row>
    <row r="133">
      <c r="B133" s="22"/>
      <c r="C133" s="22"/>
    </row>
    <row r="134">
      <c r="B134" s="22"/>
      <c r="C134" s="22"/>
    </row>
    <row r="135">
      <c r="B135" s="22"/>
      <c r="C135" s="22"/>
    </row>
    <row r="136">
      <c r="B136" s="22"/>
      <c r="C136" s="22"/>
    </row>
    <row r="137">
      <c r="B137" s="22"/>
      <c r="C137" s="22"/>
    </row>
    <row r="138">
      <c r="B138" s="22"/>
      <c r="C138" s="22"/>
    </row>
    <row r="139">
      <c r="B139" s="22"/>
      <c r="C139" s="22"/>
    </row>
    <row r="140">
      <c r="B140" s="22"/>
      <c r="C140" s="22"/>
    </row>
    <row r="141">
      <c r="B141" s="22"/>
      <c r="C141" s="22"/>
    </row>
    <row r="142">
      <c r="B142" s="22"/>
      <c r="C142" s="22"/>
    </row>
    <row r="143">
      <c r="B143" s="22"/>
      <c r="C143" s="22"/>
    </row>
    <row r="144">
      <c r="B144" s="22"/>
      <c r="C144" s="22"/>
    </row>
    <row r="145">
      <c r="B145" s="22"/>
      <c r="C145" s="22"/>
    </row>
    <row r="146">
      <c r="B146" s="22"/>
      <c r="C146" s="22"/>
    </row>
    <row r="147">
      <c r="B147" s="22"/>
      <c r="C147" s="22"/>
    </row>
    <row r="148">
      <c r="B148" s="22"/>
      <c r="C148" s="22"/>
    </row>
    <row r="149">
      <c r="B149" s="22"/>
      <c r="C149" s="22"/>
    </row>
    <row r="150">
      <c r="B150" s="22"/>
      <c r="C150" s="22"/>
    </row>
    <row r="151">
      <c r="B151" s="22"/>
      <c r="C151" s="22"/>
    </row>
    <row r="152">
      <c r="B152" s="22"/>
      <c r="C152" s="22"/>
    </row>
    <row r="153">
      <c r="B153" s="22"/>
      <c r="C153" s="22"/>
    </row>
    <row r="154">
      <c r="B154" s="22"/>
      <c r="C154" s="22"/>
    </row>
    <row r="155">
      <c r="B155" s="22"/>
      <c r="C155" s="22"/>
    </row>
    <row r="156">
      <c r="B156" s="22"/>
      <c r="C156" s="22"/>
    </row>
    <row r="157">
      <c r="B157" s="22"/>
      <c r="C157" s="22"/>
    </row>
    <row r="158">
      <c r="B158" s="22"/>
      <c r="C158" s="22"/>
    </row>
    <row r="159">
      <c r="B159" s="22"/>
      <c r="C159" s="22"/>
    </row>
    <row r="160">
      <c r="B160" s="22"/>
      <c r="C160" s="22"/>
    </row>
    <row r="161">
      <c r="B161" s="22"/>
      <c r="C161" s="22"/>
    </row>
    <row r="162">
      <c r="B162" s="22"/>
      <c r="C162" s="22"/>
    </row>
    <row r="163">
      <c r="B163" s="22"/>
      <c r="C163" s="22"/>
    </row>
    <row r="164">
      <c r="B164" s="22"/>
      <c r="C164" s="22"/>
    </row>
    <row r="165">
      <c r="B165" s="22"/>
      <c r="C165" s="22"/>
    </row>
    <row r="166">
      <c r="B166" s="22"/>
      <c r="C166" s="22"/>
    </row>
    <row r="167">
      <c r="B167" s="22"/>
      <c r="C167" s="22"/>
    </row>
    <row r="168">
      <c r="B168" s="22"/>
      <c r="C168" s="22"/>
    </row>
    <row r="169">
      <c r="B169" s="22"/>
      <c r="C169" s="22"/>
    </row>
    <row r="170">
      <c r="B170" s="22"/>
      <c r="C170" s="22"/>
    </row>
    <row r="171">
      <c r="B171" s="22"/>
      <c r="C171" s="22"/>
    </row>
    <row r="172">
      <c r="B172" s="22"/>
      <c r="C172" s="22"/>
    </row>
    <row r="173">
      <c r="B173" s="22"/>
      <c r="C173" s="22"/>
    </row>
    <row r="174">
      <c r="B174" s="22"/>
      <c r="C174" s="22"/>
    </row>
    <row r="175">
      <c r="B175" s="22"/>
      <c r="C175" s="22"/>
    </row>
    <row r="176">
      <c r="B176" s="22"/>
      <c r="C176" s="22"/>
    </row>
    <row r="177">
      <c r="B177" s="22"/>
      <c r="C177" s="22"/>
    </row>
    <row r="178">
      <c r="B178" s="22"/>
      <c r="C178" s="22"/>
    </row>
    <row r="179">
      <c r="B179" s="22"/>
      <c r="C179" s="22"/>
    </row>
    <row r="180">
      <c r="B180" s="22"/>
      <c r="C180" s="22"/>
    </row>
    <row r="181">
      <c r="B181" s="22"/>
      <c r="C181" s="22"/>
    </row>
    <row r="182">
      <c r="B182" s="22"/>
      <c r="C182" s="22"/>
    </row>
    <row r="183">
      <c r="B183" s="22"/>
      <c r="C183" s="22"/>
    </row>
    <row r="184">
      <c r="B184" s="22"/>
      <c r="C184" s="22"/>
    </row>
    <row r="185">
      <c r="B185" s="22"/>
      <c r="C185" s="22"/>
    </row>
    <row r="186">
      <c r="B186" s="22"/>
      <c r="C186" s="22"/>
    </row>
    <row r="187">
      <c r="B187" s="22"/>
      <c r="C187" s="22"/>
    </row>
    <row r="188">
      <c r="B188" s="22"/>
      <c r="C188" s="22"/>
    </row>
    <row r="189">
      <c r="B189" s="22"/>
      <c r="C189" s="22"/>
    </row>
    <row r="190">
      <c r="B190" s="22"/>
      <c r="C190" s="22"/>
    </row>
    <row r="191">
      <c r="B191" s="22"/>
      <c r="C191" s="22"/>
    </row>
    <row r="192">
      <c r="B192" s="22"/>
      <c r="C192" s="22"/>
    </row>
    <row r="193">
      <c r="B193" s="22"/>
      <c r="C193" s="22"/>
    </row>
    <row r="194">
      <c r="B194" s="22"/>
      <c r="C194" s="22"/>
    </row>
    <row r="195">
      <c r="B195" s="22"/>
      <c r="C195" s="22"/>
    </row>
    <row r="196">
      <c r="B196" s="22"/>
      <c r="C196" s="22"/>
    </row>
    <row r="197">
      <c r="B197" s="22"/>
      <c r="C197" s="22"/>
    </row>
    <row r="198">
      <c r="B198" s="22"/>
      <c r="C198" s="22"/>
    </row>
    <row r="199">
      <c r="B199" s="22"/>
      <c r="C199" s="22"/>
    </row>
    <row r="200">
      <c r="B200" s="22"/>
      <c r="C200" s="22"/>
    </row>
    <row r="201">
      <c r="B201" s="22"/>
      <c r="C201" s="22"/>
    </row>
    <row r="202">
      <c r="B202" s="22"/>
      <c r="C202" s="22"/>
    </row>
    <row r="203">
      <c r="B203" s="22"/>
      <c r="C203" s="22"/>
    </row>
    <row r="204">
      <c r="B204" s="22"/>
      <c r="C204" s="22"/>
    </row>
    <row r="205">
      <c r="B205" s="22"/>
      <c r="C205" s="22"/>
    </row>
    <row r="206">
      <c r="B206" s="22"/>
      <c r="C206" s="22"/>
    </row>
    <row r="207">
      <c r="B207" s="22"/>
      <c r="C207" s="22"/>
    </row>
    <row r="208">
      <c r="B208" s="22"/>
      <c r="C208" s="22"/>
    </row>
    <row r="209">
      <c r="B209" s="22"/>
      <c r="C209" s="22"/>
    </row>
    <row r="210">
      <c r="B210" s="22"/>
      <c r="C210" s="22"/>
    </row>
    <row r="211">
      <c r="B211" s="22"/>
      <c r="C211" s="22"/>
    </row>
    <row r="212">
      <c r="B212" s="22"/>
      <c r="C212" s="22"/>
    </row>
    <row r="213">
      <c r="B213" s="22"/>
      <c r="C213" s="22"/>
    </row>
    <row r="214">
      <c r="B214" s="22"/>
      <c r="C214" s="22"/>
    </row>
    <row r="215">
      <c r="B215" s="22"/>
      <c r="C215" s="22"/>
    </row>
    <row r="216">
      <c r="B216" s="22"/>
      <c r="C216" s="22"/>
    </row>
    <row r="217">
      <c r="B217" s="22"/>
      <c r="C217" s="22"/>
    </row>
    <row r="218">
      <c r="B218" s="22"/>
      <c r="C218" s="22"/>
    </row>
    <row r="219">
      <c r="B219" s="22"/>
      <c r="C219" s="22"/>
    </row>
    <row r="220">
      <c r="B220" s="22"/>
      <c r="C220" s="22"/>
    </row>
    <row r="221">
      <c r="B221" s="22"/>
      <c r="C221" s="22"/>
    </row>
    <row r="222">
      <c r="B222" s="22"/>
      <c r="C222" s="22"/>
    </row>
    <row r="223">
      <c r="B223" s="22"/>
      <c r="C223" s="22"/>
    </row>
    <row r="224">
      <c r="B224" s="22"/>
      <c r="C224" s="22"/>
    </row>
    <row r="225">
      <c r="B225" s="22"/>
      <c r="C225" s="22"/>
    </row>
    <row r="226">
      <c r="B226" s="22"/>
      <c r="C226" s="22"/>
    </row>
    <row r="227">
      <c r="B227" s="22"/>
      <c r="C227" s="22"/>
    </row>
    <row r="228">
      <c r="B228" s="22"/>
      <c r="C228" s="22"/>
    </row>
    <row r="229">
      <c r="B229" s="22"/>
      <c r="C229" s="22"/>
    </row>
    <row r="230">
      <c r="B230" s="22"/>
      <c r="C230" s="22"/>
    </row>
    <row r="231">
      <c r="B231" s="22"/>
      <c r="C231" s="22"/>
    </row>
    <row r="232">
      <c r="B232" s="22"/>
      <c r="C232" s="22"/>
    </row>
    <row r="233">
      <c r="B233" s="22"/>
      <c r="C233" s="22"/>
    </row>
    <row r="234">
      <c r="B234" s="22"/>
      <c r="C234" s="22"/>
    </row>
    <row r="235">
      <c r="B235" s="22"/>
      <c r="C235" s="22"/>
    </row>
    <row r="236">
      <c r="B236" s="22"/>
      <c r="C236" s="22"/>
    </row>
    <row r="237">
      <c r="B237" s="22"/>
      <c r="C237" s="22"/>
    </row>
    <row r="238">
      <c r="B238" s="22"/>
      <c r="C238" s="22"/>
    </row>
    <row r="239">
      <c r="B239" s="22"/>
      <c r="C239" s="22"/>
    </row>
    <row r="240">
      <c r="B240" s="22"/>
      <c r="C240" s="22"/>
    </row>
    <row r="241">
      <c r="B241" s="22"/>
      <c r="C241" s="22"/>
    </row>
    <row r="242">
      <c r="B242" s="22"/>
      <c r="C242" s="22"/>
    </row>
    <row r="243">
      <c r="B243" s="22"/>
      <c r="C243" s="22"/>
    </row>
    <row r="244">
      <c r="B244" s="22"/>
      <c r="C244" s="22"/>
    </row>
    <row r="245">
      <c r="B245" s="22"/>
      <c r="C245" s="22"/>
    </row>
    <row r="246">
      <c r="B246" s="22"/>
      <c r="C246" s="22"/>
    </row>
    <row r="247">
      <c r="B247" s="22"/>
      <c r="C247" s="22"/>
    </row>
    <row r="248">
      <c r="B248" s="22"/>
      <c r="C248" s="22"/>
    </row>
    <row r="249">
      <c r="B249" s="22"/>
      <c r="C249" s="22"/>
    </row>
    <row r="250">
      <c r="B250" s="22"/>
      <c r="C250" s="22"/>
    </row>
    <row r="251">
      <c r="B251" s="22"/>
      <c r="C251" s="22"/>
    </row>
    <row r="252">
      <c r="B252" s="22"/>
      <c r="C252" s="22"/>
    </row>
    <row r="253">
      <c r="B253" s="22"/>
      <c r="C253" s="22"/>
    </row>
    <row r="254">
      <c r="B254" s="22"/>
      <c r="C254" s="22"/>
    </row>
    <row r="255">
      <c r="B255" s="22"/>
      <c r="C255" s="22"/>
    </row>
    <row r="256">
      <c r="B256" s="22"/>
      <c r="C256" s="22"/>
    </row>
    <row r="257">
      <c r="B257" s="22"/>
      <c r="C257" s="22"/>
    </row>
    <row r="258">
      <c r="B258" s="22"/>
      <c r="C258" s="22"/>
    </row>
    <row r="259">
      <c r="B259" s="22"/>
      <c r="C259" s="22"/>
    </row>
    <row r="260">
      <c r="B260" s="22"/>
      <c r="C260" s="22"/>
    </row>
    <row r="261">
      <c r="B261" s="22"/>
      <c r="C261" s="22"/>
    </row>
    <row r="262">
      <c r="B262" s="22"/>
      <c r="C262" s="22"/>
    </row>
    <row r="263">
      <c r="B263" s="22"/>
      <c r="C263" s="22"/>
    </row>
    <row r="264">
      <c r="B264" s="22"/>
      <c r="C264" s="22"/>
    </row>
    <row r="265">
      <c r="B265" s="22"/>
      <c r="C265" s="22"/>
    </row>
    <row r="266">
      <c r="B266" s="22"/>
      <c r="C266" s="22"/>
    </row>
    <row r="267">
      <c r="B267" s="22"/>
      <c r="C267" s="22"/>
    </row>
    <row r="268">
      <c r="B268" s="22"/>
      <c r="C268" s="22"/>
    </row>
    <row r="269">
      <c r="B269" s="22"/>
      <c r="C269" s="22"/>
    </row>
    <row r="270">
      <c r="B270" s="22"/>
      <c r="C270" s="22"/>
    </row>
    <row r="271">
      <c r="B271" s="22"/>
      <c r="C271" s="22"/>
    </row>
    <row r="272">
      <c r="B272" s="22"/>
      <c r="C272" s="22"/>
    </row>
    <row r="273">
      <c r="B273" s="22"/>
      <c r="C273" s="22"/>
    </row>
    <row r="274">
      <c r="B274" s="22"/>
      <c r="C274" s="22"/>
    </row>
    <row r="275">
      <c r="B275" s="22"/>
      <c r="C275" s="22"/>
    </row>
    <row r="276">
      <c r="B276" s="22"/>
      <c r="C276" s="22"/>
    </row>
    <row r="277">
      <c r="B277" s="22"/>
      <c r="C277" s="22"/>
    </row>
    <row r="278">
      <c r="B278" s="22"/>
      <c r="C278" s="22"/>
    </row>
    <row r="279">
      <c r="B279" s="22"/>
      <c r="C279" s="22"/>
    </row>
    <row r="280">
      <c r="B280" s="22"/>
      <c r="C280" s="22"/>
    </row>
    <row r="281">
      <c r="B281" s="22"/>
      <c r="C281" s="22"/>
    </row>
    <row r="282">
      <c r="B282" s="22"/>
      <c r="C282" s="22"/>
    </row>
    <row r="283">
      <c r="B283" s="22"/>
      <c r="C283" s="22"/>
    </row>
    <row r="284">
      <c r="B284" s="22"/>
      <c r="C284" s="22"/>
    </row>
    <row r="285">
      <c r="B285" s="22"/>
      <c r="C285" s="22"/>
    </row>
    <row r="286">
      <c r="B286" s="22"/>
      <c r="C286" s="22"/>
    </row>
    <row r="287">
      <c r="B287" s="22"/>
      <c r="C287" s="22"/>
    </row>
    <row r="288">
      <c r="B288" s="22"/>
      <c r="C288" s="22"/>
    </row>
    <row r="289">
      <c r="B289" s="22"/>
      <c r="C289" s="22"/>
    </row>
    <row r="290">
      <c r="B290" s="22"/>
      <c r="C290" s="22"/>
    </row>
    <row r="291">
      <c r="B291" s="22"/>
      <c r="C291" s="22"/>
    </row>
    <row r="292">
      <c r="B292" s="22"/>
      <c r="C292" s="22"/>
    </row>
    <row r="293">
      <c r="B293" s="22"/>
      <c r="C293" s="22"/>
    </row>
    <row r="294">
      <c r="B294" s="22"/>
      <c r="C294" s="22"/>
    </row>
    <row r="295">
      <c r="B295" s="22"/>
      <c r="C295" s="22"/>
    </row>
    <row r="296">
      <c r="B296" s="22"/>
      <c r="C296" s="22"/>
    </row>
    <row r="297">
      <c r="B297" s="22"/>
      <c r="C297" s="22"/>
    </row>
    <row r="298">
      <c r="B298" s="22"/>
      <c r="C298" s="22"/>
    </row>
    <row r="299">
      <c r="B299" s="22"/>
      <c r="C299" s="22"/>
    </row>
    <row r="300">
      <c r="B300" s="22"/>
      <c r="C300" s="22"/>
    </row>
    <row r="301">
      <c r="B301" s="22"/>
      <c r="C301" s="22"/>
    </row>
    <row r="302">
      <c r="B302" s="22"/>
      <c r="C302" s="22"/>
    </row>
    <row r="303">
      <c r="B303" s="22"/>
      <c r="C303" s="22"/>
    </row>
    <row r="304">
      <c r="B304" s="22"/>
      <c r="C304" s="22"/>
    </row>
    <row r="305">
      <c r="B305" s="22"/>
      <c r="C305" s="22"/>
    </row>
    <row r="306">
      <c r="B306" s="22"/>
      <c r="C306" s="22"/>
    </row>
    <row r="307">
      <c r="B307" s="22"/>
      <c r="C307" s="22"/>
    </row>
    <row r="308">
      <c r="B308" s="22"/>
      <c r="C308" s="22"/>
    </row>
    <row r="309">
      <c r="B309" s="22"/>
      <c r="C309" s="22"/>
    </row>
    <row r="310">
      <c r="B310" s="22"/>
      <c r="C310" s="22"/>
    </row>
    <row r="311">
      <c r="B311" s="22"/>
      <c r="C311" s="22"/>
    </row>
    <row r="312">
      <c r="B312" s="22"/>
      <c r="C312" s="22"/>
    </row>
    <row r="313">
      <c r="B313" s="22"/>
      <c r="C313" s="22"/>
    </row>
    <row r="314">
      <c r="B314" s="22"/>
      <c r="C314" s="22"/>
    </row>
    <row r="315">
      <c r="B315" s="22"/>
      <c r="C315" s="22"/>
    </row>
    <row r="316">
      <c r="B316" s="22"/>
      <c r="C316" s="22"/>
    </row>
    <row r="317">
      <c r="B317" s="22"/>
      <c r="C317" s="22"/>
    </row>
    <row r="318">
      <c r="B318" s="22"/>
      <c r="C318" s="22"/>
    </row>
    <row r="319">
      <c r="B319" s="22"/>
      <c r="C319" s="22"/>
    </row>
    <row r="320">
      <c r="B320" s="22"/>
      <c r="C320" s="22"/>
    </row>
    <row r="321">
      <c r="B321" s="22"/>
      <c r="C321" s="22"/>
    </row>
    <row r="322">
      <c r="B322" s="22"/>
      <c r="C322" s="22"/>
    </row>
    <row r="323">
      <c r="B323" s="22"/>
      <c r="C323" s="22"/>
    </row>
    <row r="324">
      <c r="B324" s="22"/>
      <c r="C324" s="22"/>
    </row>
    <row r="325">
      <c r="B325" s="22"/>
      <c r="C325" s="22"/>
    </row>
    <row r="326">
      <c r="B326" s="22"/>
      <c r="C326" s="22"/>
    </row>
    <row r="327">
      <c r="B327" s="22"/>
      <c r="C327" s="22"/>
    </row>
    <row r="328">
      <c r="B328" s="22"/>
      <c r="C328" s="22"/>
    </row>
    <row r="329">
      <c r="B329" s="22"/>
      <c r="C329" s="22"/>
    </row>
    <row r="330">
      <c r="B330" s="22"/>
      <c r="C330" s="22"/>
    </row>
    <row r="331">
      <c r="B331" s="22"/>
      <c r="C331" s="22"/>
    </row>
    <row r="332">
      <c r="B332" s="22"/>
      <c r="C332" s="22"/>
    </row>
    <row r="333">
      <c r="B333" s="22"/>
      <c r="C333" s="22"/>
    </row>
    <row r="334">
      <c r="B334" s="22"/>
      <c r="C334" s="22"/>
    </row>
    <row r="335">
      <c r="B335" s="22"/>
      <c r="C335" s="22"/>
    </row>
    <row r="336">
      <c r="B336" s="22"/>
      <c r="C336" s="22"/>
    </row>
    <row r="337">
      <c r="B337" s="22"/>
      <c r="C337" s="22"/>
    </row>
    <row r="338">
      <c r="B338" s="22"/>
      <c r="C338" s="22"/>
    </row>
    <row r="339">
      <c r="B339" s="22"/>
      <c r="C339" s="22"/>
    </row>
    <row r="340">
      <c r="B340" s="22"/>
      <c r="C340" s="22"/>
    </row>
    <row r="341">
      <c r="B341" s="22"/>
      <c r="C341" s="22"/>
    </row>
    <row r="342">
      <c r="B342" s="22"/>
      <c r="C342" s="22"/>
    </row>
    <row r="343">
      <c r="B343" s="22"/>
      <c r="C343" s="22"/>
    </row>
    <row r="344">
      <c r="B344" s="22"/>
      <c r="C344" s="22"/>
    </row>
    <row r="345">
      <c r="B345" s="22"/>
      <c r="C345" s="22"/>
    </row>
    <row r="346">
      <c r="B346" s="22"/>
      <c r="C346" s="22"/>
    </row>
    <row r="347">
      <c r="B347" s="22"/>
      <c r="C347" s="22"/>
    </row>
    <row r="348">
      <c r="B348" s="22"/>
      <c r="C348" s="22"/>
    </row>
    <row r="349">
      <c r="B349" s="22"/>
      <c r="C349" s="22"/>
    </row>
    <row r="350">
      <c r="B350" s="22"/>
      <c r="C350" s="22"/>
    </row>
    <row r="351">
      <c r="B351" s="22"/>
      <c r="C351" s="22"/>
    </row>
    <row r="352">
      <c r="B352" s="22"/>
      <c r="C352" s="22"/>
    </row>
    <row r="353">
      <c r="B353" s="22"/>
      <c r="C353" s="22"/>
    </row>
    <row r="354">
      <c r="B354" s="22"/>
      <c r="C354" s="22"/>
    </row>
    <row r="355">
      <c r="B355" s="22"/>
      <c r="C355" s="22"/>
    </row>
    <row r="356">
      <c r="B356" s="22"/>
      <c r="C356" s="22"/>
    </row>
    <row r="357">
      <c r="B357" s="22"/>
      <c r="C357" s="22"/>
    </row>
    <row r="358">
      <c r="B358" s="22"/>
      <c r="C358" s="22"/>
    </row>
    <row r="359">
      <c r="B359" s="22"/>
      <c r="C359" s="22"/>
    </row>
    <row r="360">
      <c r="B360" s="22"/>
      <c r="C360" s="22"/>
    </row>
    <row r="361">
      <c r="B361" s="22"/>
      <c r="C361" s="22"/>
    </row>
    <row r="362">
      <c r="B362" s="22"/>
      <c r="C362" s="22"/>
    </row>
    <row r="363">
      <c r="B363" s="22"/>
      <c r="C363" s="22"/>
    </row>
    <row r="364">
      <c r="B364" s="22"/>
      <c r="C364" s="22"/>
    </row>
    <row r="365">
      <c r="B365" s="22"/>
      <c r="C365" s="22"/>
    </row>
    <row r="366">
      <c r="B366" s="22"/>
      <c r="C366" s="22"/>
    </row>
    <row r="367">
      <c r="B367" s="22"/>
      <c r="C367" s="22"/>
    </row>
    <row r="368">
      <c r="B368" s="22"/>
      <c r="C368" s="22"/>
    </row>
    <row r="369">
      <c r="B369" s="22"/>
      <c r="C369" s="22"/>
    </row>
    <row r="370">
      <c r="B370" s="22"/>
      <c r="C370" s="22"/>
    </row>
    <row r="371">
      <c r="B371" s="22"/>
      <c r="C371" s="22"/>
    </row>
    <row r="372">
      <c r="B372" s="22"/>
      <c r="C372" s="22"/>
    </row>
    <row r="373">
      <c r="B373" s="22"/>
      <c r="C373" s="22"/>
    </row>
    <row r="374">
      <c r="B374" s="22"/>
      <c r="C374" s="22"/>
    </row>
    <row r="375">
      <c r="B375" s="22"/>
      <c r="C375" s="22"/>
    </row>
    <row r="376">
      <c r="B376" s="22"/>
      <c r="C376" s="22"/>
    </row>
    <row r="377">
      <c r="B377" s="22"/>
      <c r="C377" s="22"/>
    </row>
    <row r="378">
      <c r="B378" s="22"/>
      <c r="C378" s="22"/>
    </row>
    <row r="379">
      <c r="B379" s="22"/>
      <c r="C379" s="22"/>
    </row>
    <row r="380">
      <c r="B380" s="22"/>
      <c r="C380" s="22"/>
    </row>
    <row r="381">
      <c r="B381" s="22"/>
      <c r="C381" s="22"/>
    </row>
    <row r="382">
      <c r="B382" s="22"/>
      <c r="C382" s="22"/>
    </row>
    <row r="383">
      <c r="B383" s="22"/>
      <c r="C383" s="22"/>
    </row>
    <row r="384">
      <c r="B384" s="22"/>
      <c r="C384" s="22"/>
    </row>
    <row r="385">
      <c r="B385" s="22"/>
      <c r="C385" s="22"/>
    </row>
    <row r="386">
      <c r="B386" s="22"/>
      <c r="C386" s="22"/>
    </row>
    <row r="387">
      <c r="B387" s="22"/>
      <c r="C387" s="22"/>
    </row>
    <row r="388">
      <c r="B388" s="22"/>
      <c r="C388" s="22"/>
    </row>
    <row r="389">
      <c r="B389" s="22"/>
      <c r="C389" s="22"/>
    </row>
    <row r="390">
      <c r="B390" s="22"/>
      <c r="C390" s="22"/>
    </row>
    <row r="391">
      <c r="B391" s="22"/>
      <c r="C391" s="22"/>
    </row>
    <row r="392">
      <c r="B392" s="22"/>
      <c r="C392" s="22"/>
    </row>
    <row r="393">
      <c r="B393" s="22"/>
      <c r="C393" s="22"/>
    </row>
    <row r="394">
      <c r="B394" s="22"/>
      <c r="C394" s="22"/>
    </row>
    <row r="395">
      <c r="B395" s="22"/>
      <c r="C395" s="22"/>
    </row>
    <row r="396">
      <c r="B396" s="22"/>
      <c r="C396" s="22"/>
    </row>
    <row r="397">
      <c r="B397" s="22"/>
      <c r="C397" s="22"/>
    </row>
    <row r="398">
      <c r="B398" s="22"/>
      <c r="C398" s="22"/>
    </row>
    <row r="399">
      <c r="B399" s="22"/>
      <c r="C399" s="22"/>
    </row>
    <row r="400">
      <c r="B400" s="22"/>
      <c r="C400" s="22"/>
    </row>
    <row r="401">
      <c r="B401" s="22"/>
      <c r="C401" s="22"/>
    </row>
    <row r="402">
      <c r="B402" s="22"/>
      <c r="C402" s="22"/>
    </row>
    <row r="403">
      <c r="B403" s="22"/>
      <c r="C403" s="22"/>
    </row>
    <row r="404">
      <c r="B404" s="22"/>
      <c r="C404" s="22"/>
    </row>
    <row r="405">
      <c r="B405" s="22"/>
      <c r="C405" s="22"/>
    </row>
    <row r="406">
      <c r="B406" s="22"/>
      <c r="C406" s="22"/>
    </row>
    <row r="407">
      <c r="B407" s="22"/>
      <c r="C407" s="22"/>
    </row>
    <row r="408">
      <c r="B408" s="22"/>
      <c r="C408" s="22"/>
    </row>
    <row r="409">
      <c r="B409" s="22"/>
      <c r="C409" s="22"/>
    </row>
    <row r="410">
      <c r="B410" s="22"/>
      <c r="C410" s="22"/>
    </row>
    <row r="411">
      <c r="B411" s="22"/>
      <c r="C411" s="22"/>
    </row>
    <row r="412">
      <c r="B412" s="22"/>
      <c r="C412" s="22"/>
    </row>
    <row r="413">
      <c r="B413" s="22"/>
      <c r="C413" s="22"/>
    </row>
    <row r="414">
      <c r="B414" s="22"/>
      <c r="C414" s="22"/>
    </row>
    <row r="415">
      <c r="B415" s="22"/>
      <c r="C415" s="22"/>
    </row>
    <row r="416">
      <c r="B416" s="22"/>
      <c r="C416" s="22"/>
    </row>
    <row r="417">
      <c r="B417" s="22"/>
      <c r="C417" s="22"/>
    </row>
    <row r="418">
      <c r="B418" s="22"/>
      <c r="C418" s="22"/>
    </row>
    <row r="419">
      <c r="B419" s="22"/>
      <c r="C419" s="22"/>
    </row>
    <row r="420">
      <c r="B420" s="22"/>
      <c r="C420" s="22"/>
    </row>
    <row r="421">
      <c r="B421" s="22"/>
      <c r="C421" s="22"/>
    </row>
    <row r="422">
      <c r="B422" s="22"/>
      <c r="C422" s="22"/>
    </row>
    <row r="423">
      <c r="B423" s="22"/>
      <c r="C423" s="22"/>
    </row>
    <row r="424">
      <c r="B424" s="22"/>
      <c r="C424" s="22"/>
    </row>
    <row r="425">
      <c r="B425" s="22"/>
      <c r="C425" s="22"/>
    </row>
    <row r="426">
      <c r="B426" s="22"/>
      <c r="C426" s="22"/>
    </row>
    <row r="427">
      <c r="B427" s="22"/>
      <c r="C427" s="22"/>
    </row>
    <row r="428">
      <c r="B428" s="22"/>
      <c r="C428" s="22"/>
    </row>
    <row r="429">
      <c r="B429" s="22"/>
      <c r="C429" s="22"/>
    </row>
    <row r="430">
      <c r="B430" s="22"/>
      <c r="C430" s="22"/>
    </row>
    <row r="431">
      <c r="B431" s="22"/>
      <c r="C431" s="22"/>
    </row>
    <row r="432">
      <c r="B432" s="22"/>
      <c r="C432" s="22"/>
    </row>
    <row r="433">
      <c r="B433" s="22"/>
      <c r="C433" s="22"/>
    </row>
    <row r="434">
      <c r="B434" s="22"/>
      <c r="C434" s="22"/>
    </row>
    <row r="435">
      <c r="B435" s="22"/>
      <c r="C435" s="22"/>
    </row>
    <row r="436">
      <c r="B436" s="22"/>
      <c r="C436" s="22"/>
    </row>
    <row r="437">
      <c r="B437" s="22"/>
      <c r="C437" s="22"/>
    </row>
    <row r="438">
      <c r="B438" s="22"/>
      <c r="C438" s="22"/>
    </row>
    <row r="439">
      <c r="B439" s="22"/>
      <c r="C439" s="22"/>
    </row>
    <row r="440">
      <c r="B440" s="22"/>
      <c r="C440" s="22"/>
    </row>
    <row r="441">
      <c r="B441" s="22"/>
      <c r="C441" s="22"/>
    </row>
    <row r="442">
      <c r="B442" s="22"/>
      <c r="C442" s="22"/>
    </row>
    <row r="443">
      <c r="B443" s="22"/>
      <c r="C443" s="22"/>
    </row>
    <row r="444">
      <c r="B444" s="22"/>
      <c r="C444" s="22"/>
    </row>
    <row r="445">
      <c r="B445" s="22"/>
      <c r="C445" s="22"/>
    </row>
    <row r="446">
      <c r="B446" s="22"/>
      <c r="C446" s="22"/>
    </row>
    <row r="447">
      <c r="B447" s="22"/>
      <c r="C447" s="22"/>
    </row>
    <row r="448">
      <c r="B448" s="22"/>
      <c r="C448" s="22"/>
    </row>
    <row r="449">
      <c r="B449" s="22"/>
      <c r="C449" s="22"/>
    </row>
    <row r="450">
      <c r="B450" s="22"/>
      <c r="C450" s="22"/>
    </row>
    <row r="451">
      <c r="B451" s="22"/>
      <c r="C451" s="22"/>
    </row>
    <row r="452">
      <c r="B452" s="22"/>
      <c r="C452" s="22"/>
    </row>
    <row r="453">
      <c r="B453" s="22"/>
      <c r="C453" s="22"/>
    </row>
    <row r="454">
      <c r="B454" s="22"/>
      <c r="C454" s="22"/>
    </row>
    <row r="455">
      <c r="B455" s="22"/>
      <c r="C455" s="22"/>
    </row>
    <row r="456">
      <c r="B456" s="22"/>
      <c r="C456" s="22"/>
    </row>
    <row r="457">
      <c r="B457" s="22"/>
      <c r="C457" s="22"/>
    </row>
    <row r="458">
      <c r="B458" s="22"/>
      <c r="C458" s="22"/>
    </row>
    <row r="459">
      <c r="B459" s="22"/>
      <c r="C459" s="22"/>
    </row>
    <row r="460">
      <c r="B460" s="22"/>
      <c r="C460" s="22"/>
    </row>
    <row r="461">
      <c r="B461" s="22"/>
      <c r="C461" s="22"/>
    </row>
    <row r="462">
      <c r="B462" s="22"/>
      <c r="C462" s="22"/>
    </row>
    <row r="463">
      <c r="B463" s="22"/>
      <c r="C463" s="22"/>
    </row>
    <row r="464">
      <c r="B464" s="22"/>
      <c r="C464" s="22"/>
    </row>
    <row r="465">
      <c r="B465" s="22"/>
      <c r="C465" s="22"/>
    </row>
    <row r="466">
      <c r="B466" s="22"/>
      <c r="C466" s="22"/>
    </row>
    <row r="467">
      <c r="B467" s="22"/>
      <c r="C467" s="22"/>
    </row>
    <row r="468">
      <c r="B468" s="22"/>
      <c r="C468" s="22"/>
    </row>
    <row r="469">
      <c r="B469" s="22"/>
      <c r="C469" s="22"/>
    </row>
    <row r="470">
      <c r="B470" s="22"/>
      <c r="C470" s="22"/>
    </row>
    <row r="471">
      <c r="B471" s="22"/>
      <c r="C471" s="22"/>
    </row>
    <row r="472">
      <c r="B472" s="22"/>
      <c r="C472" s="22"/>
    </row>
    <row r="473">
      <c r="B473" s="22"/>
      <c r="C473" s="22"/>
    </row>
    <row r="474">
      <c r="B474" s="22"/>
      <c r="C474" s="22"/>
    </row>
    <row r="475">
      <c r="B475" s="22"/>
      <c r="C475" s="22"/>
    </row>
    <row r="476">
      <c r="B476" s="22"/>
      <c r="C476" s="22"/>
    </row>
    <row r="477">
      <c r="B477" s="22"/>
      <c r="C477" s="22"/>
    </row>
    <row r="478">
      <c r="B478" s="22"/>
      <c r="C478" s="22"/>
    </row>
    <row r="479">
      <c r="B479" s="22"/>
      <c r="C479" s="22"/>
    </row>
    <row r="480">
      <c r="B480" s="22"/>
      <c r="C480" s="22"/>
    </row>
    <row r="481">
      <c r="B481" s="22"/>
      <c r="C481" s="22"/>
    </row>
    <row r="482">
      <c r="B482" s="22"/>
      <c r="C482" s="22"/>
    </row>
    <row r="483">
      <c r="B483" s="22"/>
      <c r="C483" s="22"/>
    </row>
    <row r="484">
      <c r="B484" s="22"/>
      <c r="C484" s="22"/>
    </row>
    <row r="485">
      <c r="B485" s="22"/>
      <c r="C485" s="22"/>
    </row>
    <row r="486">
      <c r="B486" s="22"/>
      <c r="C486" s="22"/>
    </row>
    <row r="487">
      <c r="B487" s="22"/>
      <c r="C487" s="22"/>
    </row>
    <row r="488">
      <c r="B488" s="22"/>
      <c r="C488" s="22"/>
    </row>
    <row r="489">
      <c r="B489" s="22"/>
      <c r="C489" s="22"/>
    </row>
    <row r="490">
      <c r="B490" s="22"/>
      <c r="C490" s="22"/>
    </row>
    <row r="491">
      <c r="B491" s="22"/>
      <c r="C491" s="22"/>
    </row>
    <row r="492">
      <c r="B492" s="22"/>
      <c r="C492" s="22"/>
    </row>
    <row r="493">
      <c r="B493" s="22"/>
      <c r="C493" s="22"/>
    </row>
    <row r="494">
      <c r="B494" s="22"/>
      <c r="C494" s="22"/>
    </row>
    <row r="495">
      <c r="B495" s="22"/>
      <c r="C495" s="22"/>
    </row>
    <row r="496">
      <c r="B496" s="22"/>
      <c r="C496" s="22"/>
    </row>
    <row r="497">
      <c r="B497" s="22"/>
      <c r="C497" s="22"/>
    </row>
    <row r="498">
      <c r="B498" s="22"/>
      <c r="C498" s="22"/>
    </row>
    <row r="499">
      <c r="B499" s="22"/>
      <c r="C499" s="22"/>
    </row>
    <row r="500">
      <c r="B500" s="22"/>
      <c r="C500" s="22"/>
    </row>
    <row r="501">
      <c r="B501" s="22"/>
      <c r="C501" s="22"/>
    </row>
    <row r="502">
      <c r="B502" s="22"/>
      <c r="C502" s="22"/>
    </row>
    <row r="503">
      <c r="B503" s="22"/>
      <c r="C503" s="22"/>
    </row>
    <row r="504">
      <c r="B504" s="22"/>
      <c r="C504" s="22"/>
    </row>
    <row r="505">
      <c r="B505" s="22"/>
      <c r="C505" s="22"/>
    </row>
    <row r="506">
      <c r="B506" s="22"/>
      <c r="C506" s="22"/>
    </row>
    <row r="507">
      <c r="B507" s="22"/>
      <c r="C507" s="22"/>
    </row>
    <row r="508">
      <c r="B508" s="22"/>
      <c r="C508" s="22"/>
    </row>
    <row r="509">
      <c r="B509" s="22"/>
      <c r="C509" s="22"/>
    </row>
    <row r="510">
      <c r="B510" s="22"/>
      <c r="C510" s="22"/>
    </row>
    <row r="511">
      <c r="B511" s="22"/>
      <c r="C511" s="22"/>
    </row>
    <row r="512">
      <c r="B512" s="22"/>
      <c r="C512" s="22"/>
    </row>
    <row r="513">
      <c r="B513" s="22"/>
      <c r="C513" s="22"/>
    </row>
    <row r="514">
      <c r="B514" s="22"/>
      <c r="C514" s="22"/>
    </row>
    <row r="515">
      <c r="B515" s="22"/>
      <c r="C515" s="22"/>
    </row>
    <row r="516">
      <c r="B516" s="22"/>
      <c r="C516" s="22"/>
    </row>
    <row r="517">
      <c r="B517" s="22"/>
      <c r="C517" s="22"/>
    </row>
    <row r="518">
      <c r="B518" s="22"/>
      <c r="C518" s="22"/>
    </row>
    <row r="519">
      <c r="B519" s="22"/>
      <c r="C519" s="22"/>
    </row>
    <row r="520">
      <c r="B520" s="22"/>
      <c r="C520" s="22"/>
    </row>
    <row r="521">
      <c r="B521" s="22"/>
      <c r="C521" s="22"/>
    </row>
    <row r="522">
      <c r="B522" s="22"/>
      <c r="C522" s="22"/>
    </row>
    <row r="523">
      <c r="B523" s="22"/>
      <c r="C523" s="22"/>
    </row>
    <row r="524">
      <c r="B524" s="22"/>
      <c r="C524" s="22"/>
    </row>
    <row r="525">
      <c r="B525" s="22"/>
      <c r="C525" s="22"/>
    </row>
    <row r="526">
      <c r="B526" s="22"/>
      <c r="C526" s="22"/>
    </row>
    <row r="527">
      <c r="B527" s="22"/>
      <c r="C527" s="22"/>
    </row>
    <row r="528">
      <c r="B528" s="22"/>
      <c r="C528" s="22"/>
    </row>
    <row r="529">
      <c r="B529" s="22"/>
      <c r="C529" s="22"/>
    </row>
    <row r="530">
      <c r="B530" s="22"/>
      <c r="C530" s="22"/>
    </row>
    <row r="531">
      <c r="B531" s="22"/>
      <c r="C531" s="22"/>
    </row>
    <row r="532">
      <c r="B532" s="22"/>
      <c r="C532" s="22"/>
    </row>
    <row r="533">
      <c r="B533" s="22"/>
      <c r="C533" s="22"/>
    </row>
    <row r="534">
      <c r="B534" s="22"/>
      <c r="C534" s="22"/>
    </row>
    <row r="535">
      <c r="B535" s="22"/>
      <c r="C535" s="22"/>
    </row>
    <row r="536">
      <c r="B536" s="22"/>
      <c r="C536" s="22"/>
    </row>
    <row r="537">
      <c r="B537" s="22"/>
      <c r="C537" s="22"/>
    </row>
    <row r="538">
      <c r="B538" s="22"/>
      <c r="C538" s="22"/>
    </row>
    <row r="539">
      <c r="B539" s="22"/>
      <c r="C539" s="22"/>
    </row>
    <row r="540">
      <c r="B540" s="22"/>
      <c r="C540" s="22"/>
    </row>
    <row r="541">
      <c r="B541" s="22"/>
      <c r="C541" s="22"/>
    </row>
    <row r="542">
      <c r="B542" s="22"/>
      <c r="C542" s="22"/>
    </row>
    <row r="543">
      <c r="B543" s="22"/>
      <c r="C543" s="22"/>
    </row>
    <row r="544">
      <c r="B544" s="22"/>
      <c r="C544" s="22"/>
    </row>
    <row r="545">
      <c r="B545" s="22"/>
      <c r="C545" s="22"/>
    </row>
    <row r="546">
      <c r="B546" s="22"/>
      <c r="C546" s="22"/>
    </row>
    <row r="547">
      <c r="B547" s="22"/>
      <c r="C547" s="22"/>
    </row>
    <row r="548">
      <c r="B548" s="22"/>
      <c r="C548" s="22"/>
    </row>
    <row r="549">
      <c r="B549" s="22"/>
      <c r="C549" s="22"/>
    </row>
    <row r="550">
      <c r="B550" s="22"/>
      <c r="C550" s="22"/>
    </row>
    <row r="551">
      <c r="B551" s="22"/>
      <c r="C551" s="22"/>
    </row>
    <row r="552">
      <c r="B552" s="22"/>
      <c r="C552" s="22"/>
    </row>
    <row r="553">
      <c r="B553" s="22"/>
      <c r="C553" s="22"/>
    </row>
    <row r="554">
      <c r="B554" s="22"/>
      <c r="C554" s="22"/>
    </row>
    <row r="555">
      <c r="B555" s="22"/>
      <c r="C555" s="22"/>
    </row>
    <row r="556">
      <c r="B556" s="22"/>
      <c r="C556" s="22"/>
    </row>
    <row r="557">
      <c r="B557" s="22"/>
      <c r="C557" s="22"/>
    </row>
    <row r="558">
      <c r="B558" s="22"/>
      <c r="C558" s="22"/>
    </row>
    <row r="559">
      <c r="B559" s="22"/>
      <c r="C559" s="22"/>
    </row>
    <row r="560">
      <c r="B560" s="22"/>
      <c r="C560" s="22"/>
    </row>
    <row r="561">
      <c r="B561" s="22"/>
      <c r="C561" s="22"/>
    </row>
    <row r="562">
      <c r="B562" s="22"/>
      <c r="C562" s="22"/>
    </row>
    <row r="563">
      <c r="B563" s="22"/>
      <c r="C563" s="22"/>
    </row>
    <row r="564">
      <c r="B564" s="22"/>
      <c r="C564" s="22"/>
    </row>
    <row r="565">
      <c r="B565" s="22"/>
      <c r="C565" s="22"/>
    </row>
    <row r="566">
      <c r="B566" s="22"/>
      <c r="C566" s="22"/>
    </row>
    <row r="567">
      <c r="B567" s="22"/>
      <c r="C567" s="22"/>
    </row>
    <row r="568">
      <c r="B568" s="22"/>
      <c r="C568" s="22"/>
    </row>
    <row r="569">
      <c r="B569" s="22"/>
      <c r="C569" s="22"/>
    </row>
    <row r="570">
      <c r="B570" s="22"/>
      <c r="C570" s="22"/>
    </row>
    <row r="571">
      <c r="B571" s="22"/>
      <c r="C571" s="22"/>
    </row>
    <row r="572">
      <c r="B572" s="22"/>
      <c r="C572" s="22"/>
    </row>
    <row r="573">
      <c r="B573" s="22"/>
      <c r="C573" s="22"/>
    </row>
    <row r="574">
      <c r="B574" s="22"/>
      <c r="C574" s="22"/>
    </row>
    <row r="575">
      <c r="B575" s="22"/>
      <c r="C575" s="22"/>
    </row>
    <row r="576">
      <c r="B576" s="22"/>
      <c r="C576" s="22"/>
    </row>
    <row r="577">
      <c r="B577" s="22"/>
      <c r="C577" s="22"/>
    </row>
    <row r="578">
      <c r="B578" s="22"/>
      <c r="C578" s="22"/>
    </row>
    <row r="579">
      <c r="B579" s="22"/>
      <c r="C579" s="22"/>
    </row>
    <row r="580">
      <c r="B580" s="22"/>
      <c r="C580" s="22"/>
    </row>
    <row r="581">
      <c r="B581" s="22"/>
      <c r="C581" s="22"/>
    </row>
    <row r="582">
      <c r="B582" s="22"/>
      <c r="C582" s="22"/>
    </row>
    <row r="583">
      <c r="B583" s="22"/>
      <c r="C583" s="22"/>
    </row>
    <row r="584">
      <c r="B584" s="22"/>
      <c r="C584" s="22"/>
    </row>
    <row r="585">
      <c r="B585" s="22"/>
      <c r="C585" s="22"/>
    </row>
    <row r="586">
      <c r="B586" s="22"/>
      <c r="C586" s="22"/>
    </row>
    <row r="587">
      <c r="B587" s="22"/>
      <c r="C587" s="22"/>
    </row>
    <row r="588">
      <c r="B588" s="22"/>
      <c r="C588" s="22"/>
    </row>
    <row r="589">
      <c r="B589" s="22"/>
      <c r="C589" s="22"/>
    </row>
    <row r="590">
      <c r="B590" s="22"/>
      <c r="C590" s="22"/>
    </row>
    <row r="591">
      <c r="B591" s="22"/>
      <c r="C591" s="22"/>
    </row>
    <row r="592">
      <c r="B592" s="22"/>
      <c r="C592" s="22"/>
    </row>
    <row r="593">
      <c r="B593" s="22"/>
      <c r="C593" s="22"/>
    </row>
    <row r="594">
      <c r="B594" s="22"/>
      <c r="C594" s="22"/>
    </row>
    <row r="595">
      <c r="B595" s="22"/>
      <c r="C595" s="22"/>
    </row>
    <row r="596">
      <c r="B596" s="22"/>
      <c r="C596" s="22"/>
    </row>
    <row r="597">
      <c r="B597" s="22"/>
      <c r="C597" s="22"/>
    </row>
    <row r="598">
      <c r="B598" s="22"/>
      <c r="C598" s="22"/>
    </row>
    <row r="599">
      <c r="B599" s="22"/>
      <c r="C599" s="22"/>
    </row>
    <row r="600">
      <c r="B600" s="22"/>
      <c r="C600" s="22"/>
    </row>
    <row r="601">
      <c r="B601" s="22"/>
      <c r="C601" s="22"/>
    </row>
    <row r="602">
      <c r="B602" s="22"/>
      <c r="C602" s="22"/>
    </row>
    <row r="603">
      <c r="B603" s="22"/>
      <c r="C603" s="22"/>
    </row>
    <row r="604">
      <c r="B604" s="22"/>
      <c r="C604" s="22"/>
    </row>
    <row r="605">
      <c r="B605" s="22"/>
      <c r="C605" s="22"/>
    </row>
    <row r="606">
      <c r="B606" s="22"/>
      <c r="C606" s="22"/>
    </row>
    <row r="607">
      <c r="B607" s="22"/>
      <c r="C607" s="22"/>
    </row>
    <row r="608">
      <c r="B608" s="22"/>
      <c r="C608" s="22"/>
    </row>
    <row r="609">
      <c r="B609" s="22"/>
      <c r="C609" s="22"/>
    </row>
    <row r="610">
      <c r="B610" s="22"/>
      <c r="C610" s="22"/>
    </row>
    <row r="611">
      <c r="B611" s="22"/>
      <c r="C611" s="22"/>
    </row>
    <row r="612">
      <c r="B612" s="22"/>
      <c r="C612" s="22"/>
    </row>
    <row r="613">
      <c r="B613" s="22"/>
      <c r="C613" s="22"/>
    </row>
    <row r="614">
      <c r="B614" s="22"/>
      <c r="C614" s="22"/>
    </row>
    <row r="615">
      <c r="B615" s="22"/>
      <c r="C615" s="22"/>
    </row>
    <row r="616">
      <c r="B616" s="22"/>
      <c r="C616" s="22"/>
    </row>
    <row r="617">
      <c r="B617" s="22"/>
      <c r="C617" s="22"/>
    </row>
    <row r="618">
      <c r="B618" s="22"/>
      <c r="C618" s="22"/>
    </row>
    <row r="619">
      <c r="B619" s="22"/>
      <c r="C619" s="22"/>
    </row>
    <row r="620">
      <c r="B620" s="22"/>
      <c r="C620" s="22"/>
    </row>
    <row r="621">
      <c r="B621" s="22"/>
      <c r="C621" s="22"/>
    </row>
    <row r="622">
      <c r="B622" s="22"/>
      <c r="C622" s="22"/>
    </row>
    <row r="623">
      <c r="B623" s="22"/>
      <c r="C623" s="22"/>
    </row>
    <row r="624">
      <c r="B624" s="22"/>
      <c r="C624" s="22"/>
    </row>
    <row r="625">
      <c r="B625" s="22"/>
      <c r="C625" s="22"/>
    </row>
    <row r="626">
      <c r="B626" s="22"/>
      <c r="C626" s="22"/>
    </row>
    <row r="627">
      <c r="B627" s="22"/>
      <c r="C627" s="22"/>
    </row>
    <row r="628">
      <c r="B628" s="22"/>
      <c r="C628" s="22"/>
    </row>
    <row r="629">
      <c r="B629" s="22"/>
      <c r="C629" s="22"/>
    </row>
    <row r="630">
      <c r="B630" s="22"/>
      <c r="C630" s="22"/>
    </row>
    <row r="631">
      <c r="B631" s="22"/>
      <c r="C631" s="22"/>
    </row>
    <row r="632">
      <c r="B632" s="22"/>
      <c r="C632" s="22"/>
    </row>
    <row r="633">
      <c r="B633" s="22"/>
      <c r="C633" s="22"/>
    </row>
    <row r="634">
      <c r="B634" s="22"/>
      <c r="C634" s="22"/>
    </row>
    <row r="635">
      <c r="B635" s="22"/>
      <c r="C635" s="22"/>
    </row>
    <row r="636">
      <c r="B636" s="22"/>
      <c r="C636" s="22"/>
    </row>
    <row r="637">
      <c r="B637" s="22"/>
      <c r="C637" s="22"/>
    </row>
    <row r="638">
      <c r="B638" s="22"/>
      <c r="C638" s="22"/>
    </row>
    <row r="639">
      <c r="B639" s="22"/>
      <c r="C639" s="22"/>
    </row>
    <row r="640">
      <c r="B640" s="22"/>
      <c r="C640" s="22"/>
    </row>
    <row r="641">
      <c r="B641" s="22"/>
      <c r="C641" s="22"/>
    </row>
    <row r="642">
      <c r="B642" s="22"/>
      <c r="C642" s="22"/>
    </row>
    <row r="643">
      <c r="B643" s="22"/>
      <c r="C643" s="22"/>
    </row>
    <row r="644">
      <c r="B644" s="22"/>
      <c r="C644" s="22"/>
    </row>
    <row r="645">
      <c r="B645" s="22"/>
      <c r="C645" s="22"/>
    </row>
    <row r="646">
      <c r="B646" s="22"/>
      <c r="C646" s="22"/>
    </row>
    <row r="647">
      <c r="B647" s="22"/>
      <c r="C647" s="22"/>
    </row>
    <row r="648">
      <c r="B648" s="22"/>
      <c r="C648" s="22"/>
    </row>
    <row r="649">
      <c r="B649" s="22"/>
      <c r="C649" s="22"/>
    </row>
    <row r="650">
      <c r="B650" s="22"/>
      <c r="C650" s="22"/>
    </row>
    <row r="651">
      <c r="B651" s="22"/>
      <c r="C651" s="22"/>
    </row>
    <row r="652">
      <c r="B652" s="22"/>
      <c r="C652" s="22"/>
    </row>
    <row r="653">
      <c r="B653" s="22"/>
      <c r="C653" s="22"/>
    </row>
    <row r="654">
      <c r="B654" s="22"/>
      <c r="C654" s="22"/>
    </row>
    <row r="655">
      <c r="B655" s="22"/>
      <c r="C655" s="22"/>
    </row>
    <row r="656">
      <c r="B656" s="22"/>
      <c r="C656" s="22"/>
    </row>
    <row r="657">
      <c r="B657" s="22"/>
      <c r="C657" s="22"/>
    </row>
    <row r="658">
      <c r="B658" s="22"/>
      <c r="C658" s="22"/>
    </row>
    <row r="659">
      <c r="B659" s="22"/>
      <c r="C659" s="22"/>
    </row>
    <row r="660">
      <c r="B660" s="22"/>
      <c r="C660" s="22"/>
    </row>
    <row r="661">
      <c r="B661" s="22"/>
      <c r="C661" s="22"/>
    </row>
    <row r="662">
      <c r="B662" s="22"/>
      <c r="C662" s="22"/>
    </row>
    <row r="663">
      <c r="B663" s="22"/>
      <c r="C663" s="22"/>
    </row>
    <row r="664">
      <c r="B664" s="22"/>
      <c r="C664" s="22"/>
    </row>
    <row r="665">
      <c r="B665" s="22"/>
      <c r="C665" s="22"/>
    </row>
    <row r="666">
      <c r="B666" s="22"/>
      <c r="C666" s="22"/>
    </row>
    <row r="667">
      <c r="B667" s="22"/>
      <c r="C667" s="22"/>
    </row>
    <row r="668">
      <c r="B668" s="22"/>
      <c r="C668" s="22"/>
    </row>
    <row r="669">
      <c r="B669" s="22"/>
      <c r="C669" s="22"/>
    </row>
    <row r="670">
      <c r="B670" s="22"/>
      <c r="C670" s="22"/>
    </row>
    <row r="671">
      <c r="B671" s="22"/>
      <c r="C671" s="22"/>
    </row>
    <row r="672">
      <c r="B672" s="22"/>
      <c r="C672" s="22"/>
    </row>
    <row r="673">
      <c r="B673" s="22"/>
      <c r="C673" s="22"/>
    </row>
    <row r="674">
      <c r="B674" s="22"/>
      <c r="C674" s="22"/>
    </row>
    <row r="675">
      <c r="B675" s="22"/>
      <c r="C675" s="22"/>
    </row>
    <row r="676">
      <c r="B676" s="22"/>
      <c r="C676" s="22"/>
    </row>
    <row r="677">
      <c r="B677" s="22"/>
      <c r="C677" s="22"/>
    </row>
    <row r="678">
      <c r="B678" s="22"/>
      <c r="C678" s="22"/>
    </row>
    <row r="679">
      <c r="B679" s="22"/>
      <c r="C679" s="22"/>
    </row>
    <row r="680">
      <c r="B680" s="22"/>
      <c r="C680" s="22"/>
    </row>
    <row r="681">
      <c r="B681" s="22"/>
      <c r="C681" s="22"/>
    </row>
    <row r="682">
      <c r="B682" s="22"/>
      <c r="C682" s="22"/>
    </row>
    <row r="683">
      <c r="B683" s="22"/>
      <c r="C683" s="22"/>
    </row>
    <row r="684">
      <c r="B684" s="22"/>
      <c r="C684" s="22"/>
    </row>
    <row r="685">
      <c r="B685" s="22"/>
      <c r="C685" s="22"/>
    </row>
    <row r="686">
      <c r="B686" s="22"/>
      <c r="C686" s="22"/>
    </row>
    <row r="687">
      <c r="B687" s="22"/>
      <c r="C687" s="22"/>
    </row>
    <row r="688">
      <c r="B688" s="22"/>
      <c r="C688" s="22"/>
    </row>
    <row r="689">
      <c r="B689" s="22"/>
      <c r="C689" s="22"/>
    </row>
    <row r="690">
      <c r="B690" s="22"/>
      <c r="C690" s="22"/>
    </row>
    <row r="691">
      <c r="B691" s="22"/>
      <c r="C691" s="22"/>
    </row>
    <row r="692">
      <c r="B692" s="22"/>
      <c r="C692" s="22"/>
    </row>
    <row r="693">
      <c r="B693" s="22"/>
      <c r="C693" s="22"/>
    </row>
    <row r="694">
      <c r="B694" s="22"/>
      <c r="C694" s="22"/>
    </row>
    <row r="695">
      <c r="B695" s="22"/>
      <c r="C695" s="22"/>
    </row>
    <row r="696">
      <c r="B696" s="22"/>
      <c r="C696" s="22"/>
    </row>
    <row r="697">
      <c r="B697" s="22"/>
      <c r="C697" s="22"/>
    </row>
    <row r="698">
      <c r="B698" s="22"/>
      <c r="C698" s="22"/>
    </row>
    <row r="699">
      <c r="B699" s="22"/>
      <c r="C699" s="22"/>
    </row>
    <row r="700">
      <c r="B700" s="22"/>
      <c r="C700" s="22"/>
    </row>
    <row r="701">
      <c r="B701" s="22"/>
      <c r="C701" s="22"/>
    </row>
    <row r="702">
      <c r="B702" s="22"/>
      <c r="C702" s="22"/>
    </row>
    <row r="703">
      <c r="B703" s="22"/>
      <c r="C703" s="22"/>
    </row>
    <row r="704">
      <c r="B704" s="22"/>
      <c r="C704" s="22"/>
    </row>
    <row r="705">
      <c r="B705" s="22"/>
      <c r="C705" s="22"/>
    </row>
    <row r="706">
      <c r="B706" s="22"/>
      <c r="C706" s="22"/>
    </row>
    <row r="707">
      <c r="B707" s="22"/>
      <c r="C707" s="22"/>
    </row>
    <row r="708">
      <c r="B708" s="22"/>
      <c r="C708" s="22"/>
    </row>
    <row r="709">
      <c r="B709" s="22"/>
      <c r="C709" s="22"/>
    </row>
    <row r="710">
      <c r="B710" s="22"/>
      <c r="C710" s="22"/>
    </row>
    <row r="711">
      <c r="B711" s="22"/>
      <c r="C711" s="22"/>
    </row>
    <row r="712">
      <c r="B712" s="22"/>
      <c r="C712" s="22"/>
    </row>
    <row r="713">
      <c r="B713" s="22"/>
      <c r="C713" s="22"/>
    </row>
    <row r="714">
      <c r="B714" s="22"/>
      <c r="C714" s="22"/>
    </row>
    <row r="715">
      <c r="B715" s="22"/>
      <c r="C715" s="22"/>
    </row>
    <row r="716">
      <c r="B716" s="22"/>
      <c r="C716" s="22"/>
    </row>
    <row r="717">
      <c r="B717" s="22"/>
      <c r="C717" s="22"/>
    </row>
    <row r="718">
      <c r="B718" s="22"/>
      <c r="C718" s="22"/>
    </row>
    <row r="719">
      <c r="B719" s="22"/>
      <c r="C719" s="22"/>
    </row>
    <row r="720">
      <c r="B720" s="22"/>
      <c r="C720" s="22"/>
    </row>
    <row r="721">
      <c r="B721" s="22"/>
      <c r="C721" s="22"/>
    </row>
    <row r="722">
      <c r="B722" s="22"/>
      <c r="C722" s="22"/>
    </row>
    <row r="723">
      <c r="B723" s="22"/>
      <c r="C723" s="22"/>
    </row>
    <row r="724">
      <c r="B724" s="22"/>
      <c r="C724" s="22"/>
    </row>
    <row r="725">
      <c r="B725" s="22"/>
      <c r="C725" s="22"/>
    </row>
    <row r="726">
      <c r="B726" s="22"/>
      <c r="C726" s="22"/>
    </row>
    <row r="727">
      <c r="B727" s="22"/>
      <c r="C727" s="22"/>
    </row>
    <row r="728">
      <c r="B728" s="22"/>
      <c r="C728" s="22"/>
    </row>
    <row r="729">
      <c r="B729" s="22"/>
      <c r="C729" s="22"/>
    </row>
    <row r="730">
      <c r="B730" s="22"/>
      <c r="C730" s="22"/>
    </row>
    <row r="731">
      <c r="B731" s="22"/>
      <c r="C731" s="22"/>
    </row>
    <row r="732">
      <c r="B732" s="22"/>
      <c r="C732" s="22"/>
    </row>
    <row r="733">
      <c r="B733" s="22"/>
      <c r="C733" s="22"/>
    </row>
    <row r="734">
      <c r="B734" s="22"/>
      <c r="C734" s="22"/>
    </row>
    <row r="735">
      <c r="B735" s="22"/>
      <c r="C735" s="22"/>
    </row>
    <row r="736">
      <c r="B736" s="22"/>
      <c r="C736" s="22"/>
    </row>
    <row r="737">
      <c r="B737" s="22"/>
      <c r="C737" s="22"/>
    </row>
    <row r="738">
      <c r="B738" s="22"/>
      <c r="C738" s="22"/>
    </row>
    <row r="739">
      <c r="B739" s="22"/>
      <c r="C739" s="22"/>
    </row>
    <row r="740">
      <c r="B740" s="22"/>
      <c r="C740" s="22"/>
    </row>
    <row r="741">
      <c r="B741" s="22"/>
      <c r="C741" s="22"/>
    </row>
    <row r="742">
      <c r="B742" s="22"/>
      <c r="C742" s="22"/>
    </row>
    <row r="743">
      <c r="B743" s="22"/>
      <c r="C743" s="22"/>
    </row>
    <row r="744">
      <c r="B744" s="22"/>
      <c r="C744" s="22"/>
    </row>
    <row r="745">
      <c r="B745" s="22"/>
      <c r="C745" s="22"/>
    </row>
    <row r="746">
      <c r="B746" s="22"/>
      <c r="C746" s="22"/>
    </row>
    <row r="747">
      <c r="B747" s="22"/>
      <c r="C747" s="22"/>
    </row>
    <row r="748">
      <c r="B748" s="22"/>
      <c r="C748" s="22"/>
    </row>
    <row r="749">
      <c r="B749" s="22"/>
      <c r="C749" s="22"/>
    </row>
    <row r="750">
      <c r="B750" s="22"/>
      <c r="C750" s="22"/>
    </row>
    <row r="751">
      <c r="B751" s="22"/>
      <c r="C751" s="22"/>
    </row>
    <row r="752">
      <c r="B752" s="22"/>
      <c r="C752" s="22"/>
    </row>
    <row r="753">
      <c r="B753" s="22"/>
      <c r="C753" s="22"/>
    </row>
    <row r="754">
      <c r="B754" s="22"/>
      <c r="C754" s="22"/>
    </row>
    <row r="755">
      <c r="B755" s="22"/>
      <c r="C755" s="22"/>
    </row>
    <row r="756">
      <c r="B756" s="22"/>
      <c r="C756" s="22"/>
    </row>
    <row r="757">
      <c r="B757" s="22"/>
      <c r="C757" s="22"/>
    </row>
    <row r="758">
      <c r="B758" s="22"/>
      <c r="C758" s="22"/>
    </row>
    <row r="759">
      <c r="B759" s="22"/>
      <c r="C759" s="22"/>
    </row>
    <row r="760">
      <c r="B760" s="22"/>
      <c r="C760" s="22"/>
    </row>
    <row r="761">
      <c r="B761" s="22"/>
      <c r="C761" s="22"/>
    </row>
    <row r="762">
      <c r="B762" s="22"/>
      <c r="C762" s="22"/>
    </row>
    <row r="763">
      <c r="B763" s="22"/>
      <c r="C763" s="22"/>
    </row>
    <row r="764">
      <c r="B764" s="22"/>
      <c r="C764" s="22"/>
    </row>
    <row r="765">
      <c r="B765" s="22"/>
      <c r="C765" s="22"/>
    </row>
    <row r="766">
      <c r="B766" s="22"/>
      <c r="C766" s="22"/>
    </row>
    <row r="767">
      <c r="B767" s="22"/>
      <c r="C767" s="22"/>
    </row>
    <row r="768">
      <c r="B768" s="22"/>
      <c r="C768" s="22"/>
    </row>
    <row r="769">
      <c r="B769" s="22"/>
      <c r="C769" s="22"/>
    </row>
    <row r="770">
      <c r="B770" s="22"/>
      <c r="C770" s="22"/>
    </row>
    <row r="771">
      <c r="B771" s="22"/>
      <c r="C771" s="22"/>
    </row>
    <row r="772">
      <c r="B772" s="22"/>
      <c r="C772" s="22"/>
    </row>
    <row r="773">
      <c r="B773" s="22"/>
      <c r="C773" s="22"/>
    </row>
    <row r="774">
      <c r="B774" s="22"/>
      <c r="C774" s="22"/>
    </row>
    <row r="775">
      <c r="B775" s="22"/>
      <c r="C775" s="22"/>
    </row>
    <row r="776">
      <c r="B776" s="22"/>
      <c r="C776" s="22"/>
    </row>
    <row r="777">
      <c r="B777" s="22"/>
      <c r="C777" s="22"/>
    </row>
    <row r="778">
      <c r="B778" s="22"/>
      <c r="C778" s="22"/>
    </row>
    <row r="779">
      <c r="B779" s="22"/>
      <c r="C779" s="22"/>
    </row>
    <row r="780">
      <c r="B780" s="22"/>
      <c r="C780" s="22"/>
    </row>
    <row r="781">
      <c r="B781" s="22"/>
      <c r="C781" s="22"/>
    </row>
    <row r="782">
      <c r="B782" s="22"/>
      <c r="C782" s="22"/>
    </row>
    <row r="783">
      <c r="B783" s="22"/>
      <c r="C783" s="22"/>
    </row>
    <row r="784">
      <c r="B784" s="22"/>
      <c r="C784" s="22"/>
    </row>
    <row r="785">
      <c r="B785" s="22"/>
      <c r="C785" s="22"/>
    </row>
    <row r="786">
      <c r="B786" s="22"/>
      <c r="C786" s="22"/>
    </row>
    <row r="787">
      <c r="B787" s="22"/>
      <c r="C787" s="22"/>
    </row>
    <row r="788">
      <c r="B788" s="22"/>
      <c r="C788" s="22"/>
    </row>
    <row r="789">
      <c r="B789" s="22"/>
      <c r="C789" s="22"/>
    </row>
    <row r="790">
      <c r="B790" s="22"/>
      <c r="C790" s="22"/>
    </row>
    <row r="791">
      <c r="B791" s="22"/>
      <c r="C791" s="22"/>
    </row>
    <row r="792">
      <c r="B792" s="22"/>
      <c r="C792" s="22"/>
    </row>
    <row r="793">
      <c r="B793" s="22"/>
      <c r="C793" s="22"/>
    </row>
    <row r="794">
      <c r="B794" s="22"/>
      <c r="C794" s="22"/>
    </row>
    <row r="795">
      <c r="B795" s="22"/>
      <c r="C795" s="22"/>
    </row>
    <row r="796">
      <c r="B796" s="22"/>
      <c r="C796" s="22"/>
    </row>
    <row r="797">
      <c r="B797" s="22"/>
      <c r="C797" s="22"/>
    </row>
    <row r="798">
      <c r="B798" s="22"/>
      <c r="C798" s="22"/>
    </row>
    <row r="799">
      <c r="B799" s="22"/>
      <c r="C799" s="22"/>
    </row>
    <row r="800">
      <c r="B800" s="22"/>
      <c r="C800" s="22"/>
    </row>
    <row r="801">
      <c r="B801" s="22"/>
      <c r="C801" s="22"/>
    </row>
    <row r="802">
      <c r="B802" s="22"/>
      <c r="C802" s="22"/>
    </row>
    <row r="803">
      <c r="B803" s="22"/>
      <c r="C803" s="22"/>
    </row>
    <row r="804">
      <c r="B804" s="22"/>
      <c r="C804" s="22"/>
    </row>
    <row r="805">
      <c r="B805" s="22"/>
      <c r="C805" s="22"/>
    </row>
    <row r="806">
      <c r="B806" s="22"/>
      <c r="C806" s="22"/>
    </row>
    <row r="807">
      <c r="B807" s="22"/>
      <c r="C807" s="22"/>
    </row>
    <row r="808">
      <c r="B808" s="22"/>
      <c r="C808" s="22"/>
    </row>
    <row r="809">
      <c r="B809" s="22"/>
      <c r="C809" s="22"/>
    </row>
    <row r="810">
      <c r="B810" s="22"/>
      <c r="C810" s="22"/>
    </row>
    <row r="811">
      <c r="B811" s="22"/>
      <c r="C811" s="22"/>
    </row>
    <row r="812">
      <c r="B812" s="22"/>
      <c r="C812" s="22"/>
    </row>
    <row r="813">
      <c r="B813" s="22"/>
      <c r="C813" s="22"/>
    </row>
    <row r="814">
      <c r="B814" s="22"/>
      <c r="C814" s="22"/>
    </row>
    <row r="815">
      <c r="B815" s="22"/>
      <c r="C815" s="22"/>
    </row>
    <row r="816">
      <c r="B816" s="22"/>
      <c r="C816" s="22"/>
    </row>
    <row r="817">
      <c r="B817" s="22"/>
      <c r="C817" s="22"/>
    </row>
    <row r="818">
      <c r="B818" s="22"/>
      <c r="C818" s="22"/>
    </row>
    <row r="819">
      <c r="B819" s="22"/>
      <c r="C819" s="22"/>
    </row>
    <row r="820">
      <c r="B820" s="22"/>
      <c r="C820" s="22"/>
    </row>
    <row r="821">
      <c r="B821" s="22"/>
      <c r="C821" s="22"/>
    </row>
    <row r="822">
      <c r="B822" s="22"/>
      <c r="C822" s="22"/>
    </row>
    <row r="823">
      <c r="B823" s="22"/>
      <c r="C823" s="22"/>
    </row>
    <row r="824">
      <c r="B824" s="22"/>
      <c r="C824" s="22"/>
    </row>
    <row r="825">
      <c r="B825" s="22"/>
      <c r="C825" s="22"/>
    </row>
    <row r="826">
      <c r="B826" s="22"/>
      <c r="C826" s="22"/>
    </row>
    <row r="827">
      <c r="B827" s="22"/>
      <c r="C827" s="22"/>
    </row>
    <row r="828">
      <c r="B828" s="22"/>
      <c r="C828" s="22"/>
    </row>
    <row r="829">
      <c r="B829" s="22"/>
      <c r="C829" s="22"/>
    </row>
    <row r="830">
      <c r="B830" s="22"/>
      <c r="C830" s="22"/>
    </row>
    <row r="831">
      <c r="B831" s="22"/>
      <c r="C831" s="22"/>
    </row>
    <row r="832">
      <c r="B832" s="22"/>
      <c r="C832" s="22"/>
    </row>
    <row r="833">
      <c r="B833" s="22"/>
      <c r="C833" s="22"/>
    </row>
    <row r="834">
      <c r="B834" s="22"/>
      <c r="C834" s="22"/>
    </row>
    <row r="835">
      <c r="B835" s="22"/>
      <c r="C835" s="22"/>
    </row>
    <row r="836">
      <c r="B836" s="22"/>
      <c r="C836" s="22"/>
    </row>
    <row r="837">
      <c r="B837" s="22"/>
      <c r="C837" s="22"/>
    </row>
    <row r="838">
      <c r="B838" s="22"/>
      <c r="C838" s="22"/>
    </row>
    <row r="839">
      <c r="B839" s="22"/>
      <c r="C839" s="22"/>
    </row>
    <row r="840">
      <c r="B840" s="22"/>
      <c r="C840" s="22"/>
    </row>
    <row r="841">
      <c r="B841" s="22"/>
      <c r="C841" s="22"/>
    </row>
    <row r="842">
      <c r="B842" s="22"/>
      <c r="C842" s="22"/>
    </row>
    <row r="843">
      <c r="B843" s="22"/>
      <c r="C843" s="22"/>
    </row>
    <row r="844">
      <c r="B844" s="22"/>
      <c r="C844" s="22"/>
    </row>
    <row r="845">
      <c r="B845" s="22"/>
      <c r="C845" s="22"/>
    </row>
    <row r="846">
      <c r="B846" s="22"/>
      <c r="C846" s="22"/>
    </row>
    <row r="847">
      <c r="B847" s="22"/>
      <c r="C847" s="22"/>
    </row>
    <row r="848">
      <c r="B848" s="22"/>
      <c r="C848" s="22"/>
    </row>
    <row r="849">
      <c r="B849" s="22"/>
      <c r="C849" s="22"/>
    </row>
    <row r="850">
      <c r="B850" s="22"/>
      <c r="C850" s="22"/>
    </row>
    <row r="851">
      <c r="B851" s="22"/>
      <c r="C851" s="22"/>
    </row>
    <row r="852">
      <c r="B852" s="22"/>
      <c r="C852" s="22"/>
    </row>
    <row r="853">
      <c r="B853" s="22"/>
      <c r="C853" s="22"/>
    </row>
    <row r="854">
      <c r="B854" s="22"/>
      <c r="C854" s="22"/>
    </row>
    <row r="855">
      <c r="B855" s="22"/>
      <c r="C855" s="22"/>
    </row>
    <row r="856">
      <c r="B856" s="22"/>
      <c r="C856" s="22"/>
    </row>
    <row r="857">
      <c r="B857" s="22"/>
      <c r="C857" s="22"/>
    </row>
    <row r="858">
      <c r="B858" s="22"/>
      <c r="C858" s="22"/>
    </row>
    <row r="859">
      <c r="B859" s="22"/>
      <c r="C859" s="22"/>
    </row>
    <row r="860">
      <c r="B860" s="22"/>
      <c r="C860" s="22"/>
    </row>
    <row r="861">
      <c r="B861" s="22"/>
      <c r="C861" s="22"/>
    </row>
    <row r="862">
      <c r="B862" s="22"/>
      <c r="C862" s="22"/>
    </row>
    <row r="863">
      <c r="B863" s="22"/>
      <c r="C863" s="22"/>
    </row>
    <row r="864">
      <c r="B864" s="22"/>
      <c r="C864" s="22"/>
    </row>
    <row r="865">
      <c r="B865" s="22"/>
      <c r="C865" s="22"/>
    </row>
    <row r="866">
      <c r="B866" s="22"/>
      <c r="C866" s="22"/>
    </row>
    <row r="867">
      <c r="B867" s="22"/>
      <c r="C867" s="22"/>
    </row>
    <row r="868">
      <c r="B868" s="22"/>
      <c r="C868" s="22"/>
    </row>
    <row r="869">
      <c r="B869" s="22"/>
      <c r="C869" s="22"/>
    </row>
    <row r="870">
      <c r="B870" s="22"/>
      <c r="C870" s="22"/>
    </row>
    <row r="871">
      <c r="B871" s="22"/>
      <c r="C871" s="22"/>
    </row>
    <row r="872">
      <c r="B872" s="22"/>
      <c r="C872" s="22"/>
    </row>
    <row r="873">
      <c r="B873" s="22"/>
      <c r="C873" s="22"/>
    </row>
    <row r="874">
      <c r="B874" s="22"/>
      <c r="C874" s="22"/>
    </row>
    <row r="875">
      <c r="B875" s="22"/>
      <c r="C875" s="22"/>
    </row>
    <row r="876">
      <c r="B876" s="22"/>
      <c r="C876" s="22"/>
    </row>
    <row r="877">
      <c r="B877" s="22"/>
      <c r="C877" s="22"/>
    </row>
    <row r="878">
      <c r="B878" s="22"/>
      <c r="C878" s="22"/>
    </row>
    <row r="879">
      <c r="B879" s="22"/>
      <c r="C879" s="22"/>
    </row>
    <row r="880">
      <c r="B880" s="22"/>
      <c r="C880" s="22"/>
    </row>
    <row r="881">
      <c r="B881" s="22"/>
      <c r="C881" s="22"/>
    </row>
    <row r="882">
      <c r="B882" s="22"/>
      <c r="C882" s="22"/>
    </row>
    <row r="883">
      <c r="B883" s="22"/>
      <c r="C883" s="22"/>
    </row>
    <row r="884">
      <c r="B884" s="22"/>
      <c r="C884" s="22"/>
    </row>
    <row r="885">
      <c r="B885" s="22"/>
      <c r="C885" s="22"/>
    </row>
    <row r="886">
      <c r="B886" s="22"/>
      <c r="C886" s="22"/>
    </row>
    <row r="887">
      <c r="B887" s="22"/>
      <c r="C887" s="22"/>
    </row>
    <row r="888">
      <c r="B888" s="22"/>
      <c r="C888" s="22"/>
    </row>
    <row r="889">
      <c r="B889" s="22"/>
      <c r="C889" s="22"/>
    </row>
    <row r="890">
      <c r="B890" s="22"/>
      <c r="C890" s="22"/>
    </row>
    <row r="891">
      <c r="B891" s="22"/>
      <c r="C891" s="22"/>
    </row>
    <row r="892">
      <c r="B892" s="22"/>
      <c r="C892" s="22"/>
    </row>
    <row r="893">
      <c r="B893" s="22"/>
      <c r="C893" s="22"/>
    </row>
    <row r="894">
      <c r="B894" s="22"/>
      <c r="C894" s="22"/>
    </row>
    <row r="895">
      <c r="B895" s="22"/>
      <c r="C895" s="22"/>
    </row>
    <row r="896">
      <c r="B896" s="22"/>
      <c r="C896" s="22"/>
    </row>
    <row r="897">
      <c r="B897" s="22"/>
      <c r="C897" s="22"/>
    </row>
    <row r="898">
      <c r="B898" s="22"/>
      <c r="C898" s="22"/>
    </row>
    <row r="899">
      <c r="B899" s="22"/>
      <c r="C899" s="22"/>
    </row>
    <row r="900">
      <c r="B900" s="22"/>
      <c r="C900" s="22"/>
    </row>
    <row r="901">
      <c r="B901" s="22"/>
      <c r="C901" s="22"/>
    </row>
    <row r="902">
      <c r="B902" s="22"/>
      <c r="C902" s="22"/>
    </row>
    <row r="903">
      <c r="B903" s="22"/>
      <c r="C903" s="22"/>
    </row>
    <row r="904">
      <c r="B904" s="22"/>
      <c r="C904" s="22"/>
    </row>
    <row r="905">
      <c r="B905" s="22"/>
      <c r="C905" s="22"/>
    </row>
    <row r="906">
      <c r="B906" s="22"/>
      <c r="C906" s="22"/>
    </row>
    <row r="907">
      <c r="B907" s="22"/>
      <c r="C907" s="22"/>
    </row>
    <row r="908">
      <c r="B908" s="22"/>
      <c r="C908" s="22"/>
    </row>
    <row r="909">
      <c r="B909" s="22"/>
      <c r="C909" s="22"/>
    </row>
    <row r="910">
      <c r="B910" s="22"/>
      <c r="C910" s="22"/>
    </row>
    <row r="911">
      <c r="B911" s="22"/>
      <c r="C911" s="22"/>
    </row>
    <row r="912">
      <c r="B912" s="22"/>
      <c r="C912" s="22"/>
    </row>
    <row r="913">
      <c r="B913" s="22"/>
      <c r="C913" s="22"/>
    </row>
    <row r="914">
      <c r="B914" s="22"/>
      <c r="C914" s="22"/>
    </row>
    <row r="915">
      <c r="B915" s="22"/>
      <c r="C915" s="22"/>
    </row>
    <row r="916">
      <c r="B916" s="22"/>
      <c r="C916" s="22"/>
    </row>
    <row r="917">
      <c r="B917" s="22"/>
      <c r="C917" s="22"/>
    </row>
    <row r="918">
      <c r="B918" s="22"/>
      <c r="C918" s="22"/>
    </row>
    <row r="919">
      <c r="B919" s="22"/>
      <c r="C919" s="22"/>
    </row>
    <row r="920">
      <c r="B920" s="22"/>
      <c r="C920" s="22"/>
    </row>
    <row r="921">
      <c r="B921" s="22"/>
      <c r="C921" s="22"/>
    </row>
    <row r="922">
      <c r="B922" s="22"/>
      <c r="C922" s="22"/>
    </row>
    <row r="923">
      <c r="B923" s="22"/>
      <c r="C923" s="22"/>
    </row>
    <row r="924">
      <c r="B924" s="22"/>
      <c r="C924" s="22"/>
    </row>
    <row r="925">
      <c r="B925" s="22"/>
      <c r="C925" s="22"/>
    </row>
    <row r="926">
      <c r="B926" s="22"/>
      <c r="C926" s="22"/>
    </row>
    <row r="927">
      <c r="B927" s="22"/>
      <c r="C927" s="22"/>
    </row>
    <row r="928">
      <c r="B928" s="22"/>
      <c r="C928" s="22"/>
    </row>
    <row r="929">
      <c r="B929" s="22"/>
      <c r="C929" s="22"/>
    </row>
    <row r="930">
      <c r="B930" s="22"/>
      <c r="C930" s="22"/>
    </row>
    <row r="931">
      <c r="B931" s="22"/>
      <c r="C931" s="22"/>
    </row>
    <row r="932">
      <c r="B932" s="22"/>
      <c r="C932" s="22"/>
    </row>
    <row r="933">
      <c r="B933" s="22"/>
      <c r="C933" s="22"/>
    </row>
    <row r="934">
      <c r="B934" s="22"/>
      <c r="C934" s="22"/>
    </row>
    <row r="935">
      <c r="B935" s="22"/>
      <c r="C935" s="22"/>
    </row>
    <row r="936">
      <c r="B936" s="22"/>
      <c r="C936" s="22"/>
    </row>
    <row r="937">
      <c r="B937" s="22"/>
      <c r="C937" s="22"/>
    </row>
    <row r="938">
      <c r="B938" s="22"/>
      <c r="C938" s="22"/>
    </row>
    <row r="939">
      <c r="B939" s="22"/>
      <c r="C939" s="22"/>
    </row>
    <row r="940">
      <c r="B940" s="22"/>
      <c r="C940" s="22"/>
    </row>
    <row r="941">
      <c r="B941" s="22"/>
      <c r="C941" s="22"/>
    </row>
    <row r="942">
      <c r="B942" s="22"/>
      <c r="C942" s="22"/>
    </row>
    <row r="943">
      <c r="B943" s="22"/>
      <c r="C943" s="22"/>
    </row>
    <row r="944">
      <c r="B944" s="22"/>
      <c r="C944" s="22"/>
    </row>
    <row r="945">
      <c r="B945" s="22"/>
      <c r="C945" s="22"/>
    </row>
    <row r="946">
      <c r="B946" s="22"/>
      <c r="C946" s="22"/>
    </row>
    <row r="947">
      <c r="B947" s="22"/>
      <c r="C947" s="22"/>
    </row>
    <row r="948">
      <c r="B948" s="22"/>
      <c r="C948" s="22"/>
    </row>
    <row r="949">
      <c r="B949" s="22"/>
      <c r="C949" s="22"/>
    </row>
    <row r="950">
      <c r="B950" s="22"/>
      <c r="C950" s="22"/>
    </row>
    <row r="951">
      <c r="B951" s="22"/>
      <c r="C951" s="22"/>
    </row>
    <row r="952">
      <c r="B952" s="22"/>
      <c r="C952" s="22"/>
    </row>
    <row r="953">
      <c r="B953" s="22"/>
      <c r="C953" s="22"/>
    </row>
    <row r="954">
      <c r="B954" s="22"/>
      <c r="C954" s="22"/>
    </row>
    <row r="955">
      <c r="B955" s="22"/>
      <c r="C955" s="22"/>
    </row>
    <row r="956">
      <c r="B956" s="22"/>
      <c r="C956" s="22"/>
    </row>
    <row r="957">
      <c r="B957" s="22"/>
      <c r="C957" s="22"/>
    </row>
    <row r="958">
      <c r="B958" s="22"/>
      <c r="C958" s="22"/>
    </row>
    <row r="959">
      <c r="B959" s="22"/>
      <c r="C959" s="22"/>
    </row>
    <row r="960">
      <c r="B960" s="22"/>
      <c r="C960" s="22"/>
    </row>
    <row r="961">
      <c r="B961" s="22"/>
      <c r="C961" s="22"/>
    </row>
    <row r="962">
      <c r="B962" s="22"/>
      <c r="C962" s="22"/>
    </row>
    <row r="963">
      <c r="B963" s="22"/>
      <c r="C963" s="22"/>
    </row>
    <row r="964">
      <c r="B964" s="22"/>
      <c r="C964" s="22"/>
    </row>
    <row r="965">
      <c r="B965" s="22"/>
      <c r="C965" s="22"/>
    </row>
    <row r="966">
      <c r="B966" s="22"/>
      <c r="C966" s="22"/>
    </row>
    <row r="967">
      <c r="B967" s="22"/>
      <c r="C967" s="22"/>
    </row>
    <row r="968">
      <c r="B968" s="22"/>
      <c r="C968" s="22"/>
    </row>
    <row r="969">
      <c r="B969" s="22"/>
      <c r="C969" s="22"/>
    </row>
    <row r="970">
      <c r="B970" s="22"/>
      <c r="C970" s="22"/>
    </row>
    <row r="971">
      <c r="B971" s="22"/>
      <c r="C971" s="22"/>
    </row>
    <row r="972">
      <c r="B972" s="22"/>
      <c r="C972" s="22"/>
    </row>
    <row r="973">
      <c r="B973" s="22"/>
      <c r="C973" s="22"/>
    </row>
    <row r="974">
      <c r="B974" s="22"/>
      <c r="C974" s="22"/>
    </row>
    <row r="975">
      <c r="B975" s="22"/>
      <c r="C975" s="22"/>
    </row>
    <row r="976">
      <c r="B976" s="22"/>
      <c r="C976" s="22"/>
    </row>
    <row r="977">
      <c r="B977" s="22"/>
      <c r="C977" s="22"/>
    </row>
    <row r="978">
      <c r="B978" s="22"/>
      <c r="C978" s="22"/>
    </row>
    <row r="979">
      <c r="B979" s="22"/>
      <c r="C979" s="22"/>
    </row>
    <row r="980">
      <c r="B980" s="22"/>
      <c r="C980" s="22"/>
    </row>
    <row r="981">
      <c r="B981" s="22"/>
      <c r="C981" s="22"/>
    </row>
    <row r="982">
      <c r="B982" s="22"/>
      <c r="C982" s="22"/>
    </row>
    <row r="983">
      <c r="B983" s="22"/>
      <c r="C983" s="22"/>
    </row>
    <row r="984">
      <c r="B984" s="22"/>
      <c r="C984" s="22"/>
    </row>
    <row r="985">
      <c r="B985" s="22"/>
      <c r="C985" s="22"/>
    </row>
    <row r="986">
      <c r="B986" s="22"/>
      <c r="C986" s="22"/>
    </row>
    <row r="987">
      <c r="B987" s="22"/>
      <c r="C987" s="22"/>
    </row>
    <row r="988">
      <c r="B988" s="22"/>
      <c r="C988" s="22"/>
    </row>
    <row r="989">
      <c r="B989" s="22"/>
      <c r="C989" s="22"/>
    </row>
    <row r="990">
      <c r="B990" s="22"/>
      <c r="C990" s="22"/>
    </row>
    <row r="991">
      <c r="B991" s="22"/>
      <c r="C991" s="22"/>
    </row>
    <row r="992">
      <c r="B992" s="22"/>
      <c r="C992" s="22"/>
    </row>
    <row r="993">
      <c r="B993" s="22"/>
      <c r="C993" s="22"/>
    </row>
    <row r="994">
      <c r="B994" s="22"/>
      <c r="C994" s="22"/>
    </row>
    <row r="995">
      <c r="B995" s="22"/>
      <c r="C995" s="22"/>
    </row>
    <row r="996">
      <c r="B996" s="22"/>
      <c r="C996" s="22"/>
    </row>
    <row r="997">
      <c r="B997" s="22"/>
      <c r="C997" s="22"/>
    </row>
    <row r="998">
      <c r="B998" s="22"/>
      <c r="C998" s="22"/>
    </row>
    <row r="999">
      <c r="B999" s="22"/>
      <c r="C999" s="22"/>
    </row>
    <row r="1000">
      <c r="B1000" s="22"/>
      <c r="C1000" s="22"/>
    </row>
  </sheetData>
  <conditionalFormatting sqref="D2:D35">
    <cfRule type="containsText" dxfId="3" priority="1" operator="containsText" text="high">
      <formula>NOT(ISERROR(SEARCH(("high"),(D2))))</formula>
    </cfRule>
  </conditionalFormatting>
  <conditionalFormatting sqref="D2:D35">
    <cfRule type="containsText" dxfId="4" priority="2" operator="containsText" text="medium">
      <formula>NOT(ISERROR(SEARCH(("medium"),(D2))))</formula>
    </cfRule>
  </conditionalFormatting>
  <conditionalFormatting sqref="D2:D35">
    <cfRule type="containsText" dxfId="5" priority="3" operator="containsText" text="low">
      <formula>NOT(ISERROR(SEARCH(("low"),(D2))))</formula>
    </cfRule>
  </conditionalFormatting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3" max="3" width="14.88"/>
    <col customWidth="1" min="6" max="6" width="14.13"/>
    <col customWidth="1" min="7" max="7" width="13.38"/>
    <col customWidth="1" min="10" max="10" width="17.63"/>
    <col customWidth="1" min="11" max="11" width="16.75"/>
  </cols>
  <sheetData>
    <row r="1">
      <c r="A1" s="1" t="s">
        <v>0</v>
      </c>
      <c r="B1" s="2" t="s">
        <v>1</v>
      </c>
      <c r="C1" s="1" t="s">
        <v>17</v>
      </c>
      <c r="D1" s="1" t="s">
        <v>2</v>
      </c>
      <c r="E1" s="1" t="s">
        <v>34</v>
      </c>
      <c r="F1" s="1" t="s">
        <v>39</v>
      </c>
      <c r="G1" s="1" t="s">
        <v>40</v>
      </c>
      <c r="H1" s="4"/>
    </row>
    <row r="2">
      <c r="A2" s="4">
        <v>1.503960366E9</v>
      </c>
      <c r="B2" s="5">
        <v>42472.0</v>
      </c>
      <c r="C2" s="4" t="str">
        <f t="shared" ref="C2:C941" si="1">CONCAT(A2,B2)</f>
        <v>150396036642472</v>
      </c>
      <c r="D2" s="4">
        <v>13162.0</v>
      </c>
      <c r="E2" s="13" t="str">
        <f t="shared" ref="E2:E3" si="2">IF(D2&lt;5000, "LOW",IF(D2&lt;10000,"MEDIUM","HIGH"))</f>
        <v>HIGH</v>
      </c>
      <c r="F2" s="16">
        <f>VLOOKUP(C2,Sleep!C:F,4,FALSE)</f>
        <v>0.2270833333</v>
      </c>
      <c r="G2" s="12">
        <f>VLOOKUP(C2,Sleep!C:I,7,FALSE)</f>
        <v>0.9450867052</v>
      </c>
    </row>
    <row r="3">
      <c r="A3" s="4">
        <v>1.503960366E9</v>
      </c>
      <c r="B3" s="5">
        <v>42473.0</v>
      </c>
      <c r="C3" s="4" t="str">
        <f t="shared" si="1"/>
        <v>150396036642473</v>
      </c>
      <c r="D3" s="4">
        <v>10735.0</v>
      </c>
      <c r="E3" s="13" t="str">
        <f t="shared" si="2"/>
        <v>HIGH</v>
      </c>
      <c r="F3" s="16">
        <f>VLOOKUP(C3,Sleep!C:F,4,FALSE)</f>
        <v>0.2666666667</v>
      </c>
      <c r="G3" s="12">
        <f>VLOOKUP(C3,Sleep!C:I,7,FALSE)</f>
        <v>0.9434889435</v>
      </c>
    </row>
    <row r="4" hidden="1">
      <c r="A4" s="4">
        <v>1.503960366E9</v>
      </c>
      <c r="B4" s="5">
        <v>42474.0</v>
      </c>
      <c r="C4" s="4" t="str">
        <f t="shared" si="1"/>
        <v>150396036642474</v>
      </c>
      <c r="D4" s="4">
        <v>10460.0</v>
      </c>
      <c r="E4" s="4"/>
      <c r="F4" s="13" t="str">
        <f>VLOOKUP(C4,Sleep!C:F,4,FALSE)</f>
        <v>#N/A</v>
      </c>
    </row>
    <row r="5">
      <c r="A5" s="4">
        <v>1.503960366E9</v>
      </c>
      <c r="B5" s="5">
        <v>42475.0</v>
      </c>
      <c r="C5" s="4" t="str">
        <f t="shared" si="1"/>
        <v>150396036642475</v>
      </c>
      <c r="D5" s="4">
        <v>9762.0</v>
      </c>
      <c r="E5" s="13" t="str">
        <f t="shared" ref="E5:E7" si="3">IF(D5&lt;5000, "LOW",IF(D5&lt;10000,"MEDIUM","HIGH"))</f>
        <v>MEDIUM</v>
      </c>
      <c r="F5" s="16">
        <f>VLOOKUP(C5,Sleep!C:F,4,FALSE)</f>
        <v>0.2861111111</v>
      </c>
      <c r="G5" s="12">
        <f>VLOOKUP(C5,Sleep!C:I,7,FALSE)</f>
        <v>0.9321266968</v>
      </c>
    </row>
    <row r="6">
      <c r="A6" s="4">
        <v>1.503960366E9</v>
      </c>
      <c r="B6" s="5">
        <v>42476.0</v>
      </c>
      <c r="C6" s="4" t="str">
        <f t="shared" si="1"/>
        <v>150396036642476</v>
      </c>
      <c r="D6" s="4">
        <v>12669.0</v>
      </c>
      <c r="E6" s="13" t="str">
        <f t="shared" si="3"/>
        <v>HIGH</v>
      </c>
      <c r="F6" s="16">
        <f>VLOOKUP(C6,Sleep!C:F,4,FALSE)</f>
        <v>0.2361111111</v>
      </c>
      <c r="G6" s="12">
        <f>VLOOKUP(C6,Sleep!C:I,7,FALSE)</f>
        <v>0.9264305177</v>
      </c>
    </row>
    <row r="7">
      <c r="A7" s="4">
        <v>1.503960366E9</v>
      </c>
      <c r="B7" s="5">
        <v>42477.0</v>
      </c>
      <c r="C7" s="4" t="str">
        <f t="shared" si="1"/>
        <v>150396036642477</v>
      </c>
      <c r="D7" s="4">
        <v>9705.0</v>
      </c>
      <c r="E7" s="13" t="str">
        <f t="shared" si="3"/>
        <v>MEDIUM</v>
      </c>
      <c r="F7" s="16">
        <f>VLOOKUP(C7,Sleep!C:F,4,FALSE)</f>
        <v>0.4861111111</v>
      </c>
      <c r="G7" s="12">
        <f>VLOOKUP(C7,Sleep!C:I,7,FALSE)</f>
        <v>0.9831460674</v>
      </c>
    </row>
    <row r="8" hidden="1">
      <c r="A8" s="4">
        <v>1.503960366E9</v>
      </c>
      <c r="B8" s="5">
        <v>42478.0</v>
      </c>
      <c r="C8" s="4" t="str">
        <f t="shared" si="1"/>
        <v>150396036642478</v>
      </c>
      <c r="D8" s="4">
        <v>13019.0</v>
      </c>
      <c r="E8" s="4"/>
      <c r="F8" s="13" t="str">
        <f>VLOOKUP(C8,Sleep!C:F,4,FALSE)</f>
        <v>#N/A</v>
      </c>
    </row>
    <row r="9">
      <c r="A9" s="4">
        <v>1.503960366E9</v>
      </c>
      <c r="B9" s="5">
        <v>42479.0</v>
      </c>
      <c r="C9" s="4" t="str">
        <f t="shared" si="1"/>
        <v>150396036642479</v>
      </c>
      <c r="D9" s="4">
        <v>15506.0</v>
      </c>
      <c r="E9" s="13" t="str">
        <f t="shared" ref="E9:E11" si="4">IF(D9&lt;5000, "LOW",IF(D9&lt;10000,"MEDIUM","HIGH"))</f>
        <v>HIGH</v>
      </c>
      <c r="F9" s="16">
        <f>VLOOKUP(C9,Sleep!C:F,4,FALSE)</f>
        <v>0.2111111111</v>
      </c>
      <c r="G9" s="12">
        <f>VLOOKUP(C9,Sleep!C:I,7,FALSE)</f>
        <v>0.95</v>
      </c>
    </row>
    <row r="10">
      <c r="A10" s="4">
        <v>1.503960366E9</v>
      </c>
      <c r="B10" s="5">
        <v>42480.0</v>
      </c>
      <c r="C10" s="4" t="str">
        <f t="shared" si="1"/>
        <v>150396036642480</v>
      </c>
      <c r="D10" s="4">
        <v>10544.0</v>
      </c>
      <c r="E10" s="13" t="str">
        <f t="shared" si="4"/>
        <v>HIGH</v>
      </c>
      <c r="F10" s="16">
        <f>VLOOKUP(C10,Sleep!C:F,4,FALSE)</f>
        <v>0.25</v>
      </c>
      <c r="G10" s="12">
        <f>VLOOKUP(C10,Sleep!C:I,7,FALSE)</f>
        <v>0.9549071618</v>
      </c>
    </row>
    <row r="11">
      <c r="A11" s="4">
        <v>1.503960366E9</v>
      </c>
      <c r="B11" s="5">
        <v>42481.0</v>
      </c>
      <c r="C11" s="4" t="str">
        <f t="shared" si="1"/>
        <v>150396036642481</v>
      </c>
      <c r="D11" s="4">
        <v>9819.0</v>
      </c>
      <c r="E11" s="13" t="str">
        <f t="shared" si="4"/>
        <v>MEDIUM</v>
      </c>
      <c r="F11" s="16">
        <f>VLOOKUP(C11,Sleep!C:F,4,FALSE)</f>
        <v>0.2256944444</v>
      </c>
      <c r="G11" s="12">
        <f>VLOOKUP(C11,Sleep!C:I,7,FALSE)</f>
        <v>0.8928571429</v>
      </c>
    </row>
    <row r="12" hidden="1">
      <c r="A12" s="4">
        <v>1.503960366E9</v>
      </c>
      <c r="B12" s="5">
        <v>42482.0</v>
      </c>
      <c r="C12" s="4" t="str">
        <f t="shared" si="1"/>
        <v>150396036642482</v>
      </c>
      <c r="D12" s="4">
        <v>12764.0</v>
      </c>
      <c r="E12" s="4"/>
      <c r="F12" s="13" t="str">
        <f>VLOOKUP(C12,Sleep!C:F,4,FALSE)</f>
        <v>#N/A</v>
      </c>
    </row>
    <row r="13">
      <c r="A13" s="4">
        <v>1.503960366E9</v>
      </c>
      <c r="B13" s="5">
        <v>42483.0</v>
      </c>
      <c r="C13" s="4" t="str">
        <f t="shared" si="1"/>
        <v>150396036642483</v>
      </c>
      <c r="D13" s="4">
        <v>14371.0</v>
      </c>
      <c r="E13" s="13" t="str">
        <f t="shared" ref="E13:E16" si="5">IF(D13&lt;5000, "LOW",IF(D13&lt;10000,"MEDIUM","HIGH"))</f>
        <v>HIGH</v>
      </c>
      <c r="F13" s="16">
        <f>VLOOKUP(C13,Sleep!C:F,4,FALSE)</f>
        <v>0.2506944444</v>
      </c>
      <c r="G13" s="12">
        <f>VLOOKUP(C13,Sleep!C:I,7,FALSE)</f>
        <v>0.9401041667</v>
      </c>
    </row>
    <row r="14">
      <c r="A14" s="4">
        <v>1.503960366E9</v>
      </c>
      <c r="B14" s="5">
        <v>42484.0</v>
      </c>
      <c r="C14" s="4" t="str">
        <f t="shared" si="1"/>
        <v>150396036642484</v>
      </c>
      <c r="D14" s="4">
        <v>10039.0</v>
      </c>
      <c r="E14" s="13" t="str">
        <f t="shared" si="5"/>
        <v>HIGH</v>
      </c>
      <c r="F14" s="16">
        <f>VLOOKUP(C14,Sleep!C:F,4,FALSE)</f>
        <v>0.2986111111</v>
      </c>
      <c r="G14" s="12">
        <f>VLOOKUP(C14,Sleep!C:I,7,FALSE)</f>
        <v>0.9576837416</v>
      </c>
    </row>
    <row r="15">
      <c r="A15" s="4">
        <v>1.503960366E9</v>
      </c>
      <c r="B15" s="5">
        <v>42485.0</v>
      </c>
      <c r="C15" s="4" t="str">
        <f t="shared" si="1"/>
        <v>150396036642485</v>
      </c>
      <c r="D15" s="4">
        <v>15355.0</v>
      </c>
      <c r="E15" s="13" t="str">
        <f t="shared" si="5"/>
        <v>HIGH</v>
      </c>
      <c r="F15" s="16">
        <f>VLOOKUP(C15,Sleep!C:F,4,FALSE)</f>
        <v>0.1923611111</v>
      </c>
      <c r="G15" s="12">
        <f>VLOOKUP(C15,Sleep!C:I,7,FALSE)</f>
        <v>0.8575851393</v>
      </c>
    </row>
    <row r="16">
      <c r="A16" s="4">
        <v>1.503960366E9</v>
      </c>
      <c r="B16" s="5">
        <v>42486.0</v>
      </c>
      <c r="C16" s="4" t="str">
        <f t="shared" si="1"/>
        <v>150396036642486</v>
      </c>
      <c r="D16" s="4">
        <v>13755.0</v>
      </c>
      <c r="E16" s="13" t="str">
        <f t="shared" si="5"/>
        <v>HIGH</v>
      </c>
      <c r="F16" s="16">
        <f>VLOOKUP(C16,Sleep!C:F,4,FALSE)</f>
        <v>0.1701388889</v>
      </c>
      <c r="G16" s="12">
        <f>VLOOKUP(C16,Sleep!C:I,7,FALSE)</f>
        <v>0.8941605839</v>
      </c>
    </row>
    <row r="17" hidden="1">
      <c r="A17" s="4">
        <v>1.503960366E9</v>
      </c>
      <c r="B17" s="5">
        <v>42487.0</v>
      </c>
      <c r="C17" s="4" t="str">
        <f t="shared" si="1"/>
        <v>150396036642487</v>
      </c>
      <c r="D17" s="4">
        <v>18134.0</v>
      </c>
      <c r="E17" s="4"/>
      <c r="F17" s="13" t="str">
        <f>VLOOKUP(C17,Sleep!C:F,4,FALSE)</f>
        <v>#N/A</v>
      </c>
    </row>
    <row r="18">
      <c r="A18" s="4">
        <v>1.503960366E9</v>
      </c>
      <c r="B18" s="5">
        <v>42488.0</v>
      </c>
      <c r="C18" s="4" t="str">
        <f t="shared" si="1"/>
        <v>150396036642488</v>
      </c>
      <c r="D18" s="4">
        <v>13154.0</v>
      </c>
      <c r="E18" s="13" t="str">
        <f t="shared" ref="E18:E23" si="6">IF(D18&lt;5000, "LOW",IF(D18&lt;10000,"MEDIUM","HIGH"))</f>
        <v>HIGH</v>
      </c>
      <c r="F18" s="16">
        <f>VLOOKUP(C18,Sleep!C:F,4,FALSE)</f>
        <v>0.2541666667</v>
      </c>
      <c r="G18" s="12">
        <f>VLOOKUP(C18,Sleep!C:I,7,FALSE)</f>
        <v>0.9312977099</v>
      </c>
    </row>
    <row r="19">
      <c r="A19" s="4">
        <v>1.503960366E9</v>
      </c>
      <c r="B19" s="5">
        <v>42489.0</v>
      </c>
      <c r="C19" s="4" t="str">
        <f t="shared" si="1"/>
        <v>150396036642489</v>
      </c>
      <c r="D19" s="4">
        <v>11181.0</v>
      </c>
      <c r="E19" s="13" t="str">
        <f t="shared" si="6"/>
        <v>HIGH</v>
      </c>
      <c r="F19" s="16">
        <f>VLOOKUP(C19,Sleep!C:F,4,FALSE)</f>
        <v>0.2368055556</v>
      </c>
      <c r="G19" s="12">
        <f>VLOOKUP(C19,Sleep!C:I,7,FALSE)</f>
        <v>0.9632768362</v>
      </c>
    </row>
    <row r="20">
      <c r="A20" s="4">
        <v>1.503960366E9</v>
      </c>
      <c r="B20" s="5">
        <v>42490.0</v>
      </c>
      <c r="C20" s="4" t="str">
        <f t="shared" si="1"/>
        <v>150396036642490</v>
      </c>
      <c r="D20" s="4">
        <v>14673.0</v>
      </c>
      <c r="E20" s="13" t="str">
        <f t="shared" si="6"/>
        <v>HIGH</v>
      </c>
      <c r="F20" s="16">
        <f>VLOOKUP(C20,Sleep!C:F,4,FALSE)</f>
        <v>0.2805555556</v>
      </c>
      <c r="G20" s="12">
        <f>VLOOKUP(C20,Sleep!C:I,7,FALSE)</f>
        <v>0.9505882353</v>
      </c>
    </row>
    <row r="21">
      <c r="A21" s="4">
        <v>1.503960366E9</v>
      </c>
      <c r="B21" s="5">
        <v>42491.0</v>
      </c>
      <c r="C21" s="4" t="str">
        <f t="shared" si="1"/>
        <v>150396036642491</v>
      </c>
      <c r="D21" s="4">
        <v>10602.0</v>
      </c>
      <c r="E21" s="13" t="str">
        <f t="shared" si="6"/>
        <v>HIGH</v>
      </c>
      <c r="F21" s="16">
        <f>VLOOKUP(C21,Sleep!C:F,4,FALSE)</f>
        <v>0.25625</v>
      </c>
      <c r="G21" s="12">
        <f>VLOOKUP(C21,Sleep!C:I,7,FALSE)</f>
        <v>0.9318181818</v>
      </c>
    </row>
    <row r="22">
      <c r="A22" s="4">
        <v>1.503960366E9</v>
      </c>
      <c r="B22" s="5">
        <v>42492.0</v>
      </c>
      <c r="C22" s="4" t="str">
        <f t="shared" si="1"/>
        <v>150396036642492</v>
      </c>
      <c r="D22" s="4">
        <v>14727.0</v>
      </c>
      <c r="E22" s="13" t="str">
        <f t="shared" si="6"/>
        <v>HIGH</v>
      </c>
      <c r="F22" s="16">
        <f>VLOOKUP(C22,Sleep!C:F,4,FALSE)</f>
        <v>0.1923611111</v>
      </c>
      <c r="G22" s="12">
        <f>VLOOKUP(C22,Sleep!C:I,7,FALSE)</f>
        <v>0.8964401294</v>
      </c>
    </row>
    <row r="23">
      <c r="A23" s="4">
        <v>1.503960366E9</v>
      </c>
      <c r="B23" s="5">
        <v>42493.0</v>
      </c>
      <c r="C23" s="4" t="str">
        <f t="shared" si="1"/>
        <v>150396036642493</v>
      </c>
      <c r="D23" s="4">
        <v>15103.0</v>
      </c>
      <c r="E23" s="13" t="str">
        <f t="shared" si="6"/>
        <v>HIGH</v>
      </c>
      <c r="F23" s="16">
        <f>VLOOKUP(C23,Sleep!C:F,4,FALSE)</f>
        <v>0.1895833333</v>
      </c>
      <c r="G23" s="12">
        <f>VLOOKUP(C23,Sleep!C:I,7,FALSE)</f>
        <v>0.9222972973</v>
      </c>
    </row>
    <row r="24" hidden="1">
      <c r="A24" s="4">
        <v>1.503960366E9</v>
      </c>
      <c r="B24" s="5">
        <v>42494.0</v>
      </c>
      <c r="C24" s="4" t="str">
        <f t="shared" si="1"/>
        <v>150396036642494</v>
      </c>
      <c r="D24" s="4">
        <v>11100.0</v>
      </c>
      <c r="E24" s="4"/>
      <c r="F24" s="13" t="str">
        <f>VLOOKUP(C24,Sleep!C:F,4,FALSE)</f>
        <v>#N/A</v>
      </c>
    </row>
    <row r="25">
      <c r="A25" s="4">
        <v>1.503960366E9</v>
      </c>
      <c r="B25" s="5">
        <v>42495.0</v>
      </c>
      <c r="C25" s="4" t="str">
        <f t="shared" si="1"/>
        <v>150396036642495</v>
      </c>
      <c r="D25" s="4">
        <v>14070.0</v>
      </c>
      <c r="E25" s="13" t="str">
        <f t="shared" ref="E25:E31" si="7">IF(D25&lt;5000, "LOW",IF(D25&lt;10000,"MEDIUM","HIGH"))</f>
        <v>HIGH</v>
      </c>
      <c r="F25" s="16">
        <f>VLOOKUP(C25,Sleep!C:F,4,FALSE)</f>
        <v>0.1715277778</v>
      </c>
      <c r="G25" s="12">
        <f>VLOOKUP(C25,Sleep!C:I,7,FALSE)</f>
        <v>0.9356060606</v>
      </c>
    </row>
    <row r="26">
      <c r="A26" s="4">
        <v>1.503960366E9</v>
      </c>
      <c r="B26" s="5">
        <v>42496.0</v>
      </c>
      <c r="C26" s="4" t="str">
        <f t="shared" si="1"/>
        <v>150396036642496</v>
      </c>
      <c r="D26" s="4">
        <v>12159.0</v>
      </c>
      <c r="E26" s="13" t="str">
        <f t="shared" si="7"/>
        <v>HIGH</v>
      </c>
      <c r="F26" s="16">
        <f>VLOOKUP(C26,Sleep!C:F,4,FALSE)</f>
        <v>0.2319444444</v>
      </c>
      <c r="G26" s="12">
        <f>VLOOKUP(C26,Sleep!C:I,7,FALSE)</f>
        <v>0.9100817439</v>
      </c>
    </row>
    <row r="27">
      <c r="A27" s="4">
        <v>1.503960366E9</v>
      </c>
      <c r="B27" s="5">
        <v>42497.0</v>
      </c>
      <c r="C27" s="4" t="str">
        <f t="shared" si="1"/>
        <v>150396036642497</v>
      </c>
      <c r="D27" s="4">
        <v>11992.0</v>
      </c>
      <c r="E27" s="13" t="str">
        <f t="shared" si="7"/>
        <v>HIGH</v>
      </c>
      <c r="F27" s="16">
        <f>VLOOKUP(C27,Sleep!C:F,4,FALSE)</f>
        <v>0.2298611111</v>
      </c>
      <c r="G27" s="12">
        <f>VLOOKUP(C27,Sleep!C:I,7,FALSE)</f>
        <v>0.9484240688</v>
      </c>
    </row>
    <row r="28">
      <c r="A28" s="4">
        <v>1.503960366E9</v>
      </c>
      <c r="B28" s="5">
        <v>42498.0</v>
      </c>
      <c r="C28" s="4" t="str">
        <f t="shared" si="1"/>
        <v>150396036642498</v>
      </c>
      <c r="D28" s="4">
        <v>10060.0</v>
      </c>
      <c r="E28" s="13" t="str">
        <f t="shared" si="7"/>
        <v>HIGH</v>
      </c>
      <c r="F28" s="16">
        <f>VLOOKUP(C28,Sleep!C:F,4,FALSE)</f>
        <v>0.4125</v>
      </c>
      <c r="G28" s="12">
        <f>VLOOKUP(C28,Sleep!C:I,7,FALSE)</f>
        <v>0.9721767594</v>
      </c>
    </row>
    <row r="29">
      <c r="A29" s="4">
        <v>1.503960366E9</v>
      </c>
      <c r="B29" s="5">
        <v>42499.0</v>
      </c>
      <c r="C29" s="4" t="str">
        <f t="shared" si="1"/>
        <v>150396036642499</v>
      </c>
      <c r="D29" s="4">
        <v>12022.0</v>
      </c>
      <c r="E29" s="13" t="str">
        <f t="shared" si="7"/>
        <v>HIGH</v>
      </c>
      <c r="F29" s="16">
        <f>VLOOKUP(C29,Sleep!C:F,4,FALSE)</f>
        <v>0.2347222222</v>
      </c>
      <c r="G29" s="12">
        <f>VLOOKUP(C29,Sleep!C:I,7,FALSE)</f>
        <v>0.9883040936</v>
      </c>
    </row>
    <row r="30">
      <c r="A30" s="4">
        <v>1.503960366E9</v>
      </c>
      <c r="B30" s="5">
        <v>42500.0</v>
      </c>
      <c r="C30" s="4" t="str">
        <f t="shared" si="1"/>
        <v>150396036642500</v>
      </c>
      <c r="D30" s="4">
        <v>12207.0</v>
      </c>
      <c r="E30" s="13" t="str">
        <f t="shared" si="7"/>
        <v>HIGH</v>
      </c>
      <c r="F30" s="16">
        <f>VLOOKUP(C30,Sleep!C:F,4,FALSE)</f>
        <v>0.2659722222</v>
      </c>
      <c r="G30" s="12">
        <f>VLOOKUP(C30,Sleep!C:I,7,FALSE)</f>
        <v>0.9503722084</v>
      </c>
    </row>
    <row r="31">
      <c r="A31" s="4">
        <v>1.503960366E9</v>
      </c>
      <c r="B31" s="5">
        <v>42501.0</v>
      </c>
      <c r="C31" s="4" t="str">
        <f t="shared" si="1"/>
        <v>150396036642501</v>
      </c>
      <c r="D31" s="4">
        <v>12770.0</v>
      </c>
      <c r="E31" s="13" t="str">
        <f t="shared" si="7"/>
        <v>HIGH</v>
      </c>
      <c r="F31" s="16">
        <f>VLOOKUP(C31,Sleep!C:F,4,FALSE)</f>
        <v>0.1979166667</v>
      </c>
      <c r="G31" s="12">
        <f>VLOOKUP(C31,Sleep!C:I,7,FALSE)</f>
        <v>0.931372549</v>
      </c>
    </row>
    <row r="32" hidden="1">
      <c r="A32" s="4">
        <v>1.503960366E9</v>
      </c>
      <c r="B32" s="5">
        <v>42502.0</v>
      </c>
      <c r="C32" s="4" t="str">
        <f t="shared" si="1"/>
        <v>150396036642502</v>
      </c>
      <c r="D32" s="4">
        <v>0.0</v>
      </c>
      <c r="E32" s="4"/>
      <c r="F32" s="13" t="str">
        <f>VLOOKUP(C32,Sleep!C:F,4,FALSE)</f>
        <v>#N/A</v>
      </c>
    </row>
    <row r="33" hidden="1">
      <c r="A33" s="4">
        <v>1.624580081E9</v>
      </c>
      <c r="B33" s="5">
        <v>42472.0</v>
      </c>
      <c r="C33" s="4" t="str">
        <f t="shared" si="1"/>
        <v>162458008142472</v>
      </c>
      <c r="D33" s="4">
        <v>8163.0</v>
      </c>
      <c r="E33" s="4"/>
      <c r="F33" s="13" t="str">
        <f>VLOOKUP(C33,Sleep!C:F,4,FALSE)</f>
        <v>#N/A</v>
      </c>
    </row>
    <row r="34" hidden="1">
      <c r="A34" s="4">
        <v>1.624580081E9</v>
      </c>
      <c r="B34" s="5">
        <v>42473.0</v>
      </c>
      <c r="C34" s="4" t="str">
        <f t="shared" si="1"/>
        <v>162458008142473</v>
      </c>
      <c r="D34" s="4">
        <v>7007.0</v>
      </c>
      <c r="E34" s="4"/>
      <c r="F34" s="13" t="str">
        <f>VLOOKUP(C34,Sleep!C:F,4,FALSE)</f>
        <v>#N/A</v>
      </c>
    </row>
    <row r="35" hidden="1">
      <c r="A35" s="4">
        <v>1.624580081E9</v>
      </c>
      <c r="B35" s="5">
        <v>42474.0</v>
      </c>
      <c r="C35" s="4" t="str">
        <f t="shared" si="1"/>
        <v>162458008142474</v>
      </c>
      <c r="D35" s="4">
        <v>9107.0</v>
      </c>
      <c r="E35" s="4"/>
      <c r="F35" s="13" t="str">
        <f>VLOOKUP(C35,Sleep!C:F,4,FALSE)</f>
        <v>#N/A</v>
      </c>
    </row>
    <row r="36" hidden="1">
      <c r="A36" s="4">
        <v>1.624580081E9</v>
      </c>
      <c r="B36" s="5">
        <v>42475.0</v>
      </c>
      <c r="C36" s="4" t="str">
        <f t="shared" si="1"/>
        <v>162458008142475</v>
      </c>
      <c r="D36" s="4">
        <v>1510.0</v>
      </c>
      <c r="E36" s="4"/>
      <c r="F36" s="13" t="str">
        <f>VLOOKUP(C36,Sleep!C:F,4,FALSE)</f>
        <v>#N/A</v>
      </c>
    </row>
    <row r="37" hidden="1">
      <c r="A37" s="4">
        <v>1.624580081E9</v>
      </c>
      <c r="B37" s="5">
        <v>42476.0</v>
      </c>
      <c r="C37" s="4" t="str">
        <f t="shared" si="1"/>
        <v>162458008142476</v>
      </c>
      <c r="D37" s="4">
        <v>5370.0</v>
      </c>
      <c r="E37" s="4"/>
      <c r="F37" s="13" t="str">
        <f>VLOOKUP(C37,Sleep!C:F,4,FALSE)</f>
        <v>#N/A</v>
      </c>
    </row>
    <row r="38" hidden="1">
      <c r="A38" s="4">
        <v>1.624580081E9</v>
      </c>
      <c r="B38" s="5">
        <v>42477.0</v>
      </c>
      <c r="C38" s="4" t="str">
        <f t="shared" si="1"/>
        <v>162458008142477</v>
      </c>
      <c r="D38" s="4">
        <v>6175.0</v>
      </c>
      <c r="E38" s="4"/>
      <c r="F38" s="13" t="str">
        <f>VLOOKUP(C38,Sleep!C:F,4,FALSE)</f>
        <v>#N/A</v>
      </c>
    </row>
    <row r="39" hidden="1">
      <c r="A39" s="4">
        <v>1.624580081E9</v>
      </c>
      <c r="B39" s="5">
        <v>42478.0</v>
      </c>
      <c r="C39" s="4" t="str">
        <f t="shared" si="1"/>
        <v>162458008142478</v>
      </c>
      <c r="D39" s="4">
        <v>10536.0</v>
      </c>
      <c r="E39" s="4"/>
      <c r="F39" s="13" t="str">
        <f>VLOOKUP(C39,Sleep!C:F,4,FALSE)</f>
        <v>#N/A</v>
      </c>
    </row>
    <row r="40" hidden="1">
      <c r="A40" s="4">
        <v>1.624580081E9</v>
      </c>
      <c r="B40" s="5">
        <v>42479.0</v>
      </c>
      <c r="C40" s="4" t="str">
        <f t="shared" si="1"/>
        <v>162458008142479</v>
      </c>
      <c r="D40" s="4">
        <v>2916.0</v>
      </c>
      <c r="E40" s="4"/>
      <c r="F40" s="13" t="str">
        <f>VLOOKUP(C40,Sleep!C:F,4,FALSE)</f>
        <v>#N/A</v>
      </c>
    </row>
    <row r="41" hidden="1">
      <c r="A41" s="4">
        <v>1.624580081E9</v>
      </c>
      <c r="B41" s="5">
        <v>42480.0</v>
      </c>
      <c r="C41" s="4" t="str">
        <f t="shared" si="1"/>
        <v>162458008142480</v>
      </c>
      <c r="D41" s="4">
        <v>4974.0</v>
      </c>
      <c r="E41" s="4"/>
      <c r="F41" s="13" t="str">
        <f>VLOOKUP(C41,Sleep!C:F,4,FALSE)</f>
        <v>#N/A</v>
      </c>
    </row>
    <row r="42" hidden="1">
      <c r="A42" s="4">
        <v>1.624580081E9</v>
      </c>
      <c r="B42" s="5">
        <v>42481.0</v>
      </c>
      <c r="C42" s="4" t="str">
        <f t="shared" si="1"/>
        <v>162458008142481</v>
      </c>
      <c r="D42" s="4">
        <v>6349.0</v>
      </c>
      <c r="E42" s="4"/>
      <c r="F42" s="13" t="str">
        <f>VLOOKUP(C42,Sleep!C:F,4,FALSE)</f>
        <v>#N/A</v>
      </c>
    </row>
    <row r="43" hidden="1">
      <c r="A43" s="4">
        <v>1.624580081E9</v>
      </c>
      <c r="B43" s="5">
        <v>42482.0</v>
      </c>
      <c r="C43" s="4" t="str">
        <f t="shared" si="1"/>
        <v>162458008142482</v>
      </c>
      <c r="D43" s="4">
        <v>4026.0</v>
      </c>
      <c r="E43" s="4"/>
      <c r="F43" s="13" t="str">
        <f>VLOOKUP(C43,Sleep!C:F,4,FALSE)</f>
        <v>#N/A</v>
      </c>
    </row>
    <row r="44" hidden="1">
      <c r="A44" s="4">
        <v>1.624580081E9</v>
      </c>
      <c r="B44" s="5">
        <v>42483.0</v>
      </c>
      <c r="C44" s="4" t="str">
        <f t="shared" si="1"/>
        <v>162458008142483</v>
      </c>
      <c r="D44" s="4">
        <v>8538.0</v>
      </c>
      <c r="E44" s="4"/>
      <c r="F44" s="13" t="str">
        <f>VLOOKUP(C44,Sleep!C:F,4,FALSE)</f>
        <v>#N/A</v>
      </c>
    </row>
    <row r="45" hidden="1">
      <c r="A45" s="4">
        <v>1.624580081E9</v>
      </c>
      <c r="B45" s="5">
        <v>42484.0</v>
      </c>
      <c r="C45" s="4" t="str">
        <f t="shared" si="1"/>
        <v>162458008142484</v>
      </c>
      <c r="D45" s="4">
        <v>6076.0</v>
      </c>
      <c r="E45" s="4"/>
      <c r="F45" s="13" t="str">
        <f>VLOOKUP(C45,Sleep!C:F,4,FALSE)</f>
        <v>#N/A</v>
      </c>
    </row>
    <row r="46" hidden="1">
      <c r="A46" s="4">
        <v>1.624580081E9</v>
      </c>
      <c r="B46" s="5">
        <v>42485.0</v>
      </c>
      <c r="C46" s="4" t="str">
        <f t="shared" si="1"/>
        <v>162458008142485</v>
      </c>
      <c r="D46" s="4">
        <v>6497.0</v>
      </c>
      <c r="E46" s="4"/>
      <c r="F46" s="13" t="str">
        <f>VLOOKUP(C46,Sleep!C:F,4,FALSE)</f>
        <v>#N/A</v>
      </c>
    </row>
    <row r="47" hidden="1">
      <c r="A47" s="4">
        <v>1.624580081E9</v>
      </c>
      <c r="B47" s="5">
        <v>42486.0</v>
      </c>
      <c r="C47" s="4" t="str">
        <f t="shared" si="1"/>
        <v>162458008142486</v>
      </c>
      <c r="D47" s="4">
        <v>2826.0</v>
      </c>
      <c r="E47" s="4"/>
      <c r="F47" s="13" t="str">
        <f>VLOOKUP(C47,Sleep!C:F,4,FALSE)</f>
        <v>#N/A</v>
      </c>
    </row>
    <row r="48" hidden="1">
      <c r="A48" s="4">
        <v>1.624580081E9</v>
      </c>
      <c r="B48" s="5">
        <v>42487.0</v>
      </c>
      <c r="C48" s="4" t="str">
        <f t="shared" si="1"/>
        <v>162458008142487</v>
      </c>
      <c r="D48" s="4">
        <v>8367.0</v>
      </c>
      <c r="E48" s="4"/>
      <c r="F48" s="13" t="str">
        <f>VLOOKUP(C48,Sleep!C:F,4,FALSE)</f>
        <v>#N/A</v>
      </c>
    </row>
    <row r="49" hidden="1">
      <c r="A49" s="4">
        <v>1.624580081E9</v>
      </c>
      <c r="B49" s="5">
        <v>42488.0</v>
      </c>
      <c r="C49" s="4" t="str">
        <f t="shared" si="1"/>
        <v>162458008142488</v>
      </c>
      <c r="D49" s="4">
        <v>2759.0</v>
      </c>
      <c r="E49" s="4"/>
      <c r="F49" s="13" t="str">
        <f>VLOOKUP(C49,Sleep!C:F,4,FALSE)</f>
        <v>#N/A</v>
      </c>
    </row>
    <row r="50" hidden="1">
      <c r="A50" s="4">
        <v>1.624580081E9</v>
      </c>
      <c r="B50" s="5">
        <v>42489.0</v>
      </c>
      <c r="C50" s="4" t="str">
        <f t="shared" si="1"/>
        <v>162458008142489</v>
      </c>
      <c r="D50" s="4">
        <v>2390.0</v>
      </c>
      <c r="E50" s="4"/>
      <c r="F50" s="13" t="str">
        <f>VLOOKUP(C50,Sleep!C:F,4,FALSE)</f>
        <v>#N/A</v>
      </c>
    </row>
    <row r="51" hidden="1">
      <c r="A51" s="4">
        <v>1.624580081E9</v>
      </c>
      <c r="B51" s="5">
        <v>42490.0</v>
      </c>
      <c r="C51" s="4" t="str">
        <f t="shared" si="1"/>
        <v>162458008142490</v>
      </c>
      <c r="D51" s="4">
        <v>6474.0</v>
      </c>
      <c r="E51" s="4"/>
      <c r="F51" s="13" t="str">
        <f>VLOOKUP(C51,Sleep!C:F,4,FALSE)</f>
        <v>#N/A</v>
      </c>
    </row>
    <row r="52" hidden="1">
      <c r="A52" s="4">
        <v>1.624580081E9</v>
      </c>
      <c r="B52" s="5">
        <v>42491.0</v>
      </c>
      <c r="C52" s="4" t="str">
        <f t="shared" si="1"/>
        <v>162458008142491</v>
      </c>
      <c r="D52" s="4">
        <v>36019.0</v>
      </c>
      <c r="E52" s="4"/>
      <c r="F52" s="13" t="str">
        <f>VLOOKUP(C52,Sleep!C:F,4,FALSE)</f>
        <v>#N/A</v>
      </c>
    </row>
    <row r="53" hidden="1">
      <c r="A53" s="4">
        <v>1.624580081E9</v>
      </c>
      <c r="B53" s="5">
        <v>42492.0</v>
      </c>
      <c r="C53" s="4" t="str">
        <f t="shared" si="1"/>
        <v>162458008142492</v>
      </c>
      <c r="D53" s="4">
        <v>7155.0</v>
      </c>
      <c r="E53" s="4"/>
      <c r="F53" s="13" t="str">
        <f>VLOOKUP(C53,Sleep!C:F,4,FALSE)</f>
        <v>#N/A</v>
      </c>
    </row>
    <row r="54" hidden="1">
      <c r="A54" s="4">
        <v>1.624580081E9</v>
      </c>
      <c r="B54" s="5">
        <v>42493.0</v>
      </c>
      <c r="C54" s="4" t="str">
        <f t="shared" si="1"/>
        <v>162458008142493</v>
      </c>
      <c r="D54" s="4">
        <v>2100.0</v>
      </c>
      <c r="E54" s="4"/>
      <c r="F54" s="13" t="str">
        <f>VLOOKUP(C54,Sleep!C:F,4,FALSE)</f>
        <v>#N/A</v>
      </c>
    </row>
    <row r="55" hidden="1">
      <c r="A55" s="4">
        <v>1.624580081E9</v>
      </c>
      <c r="B55" s="5">
        <v>42494.0</v>
      </c>
      <c r="C55" s="4" t="str">
        <f t="shared" si="1"/>
        <v>162458008142494</v>
      </c>
      <c r="D55" s="4">
        <v>2193.0</v>
      </c>
      <c r="E55" s="4"/>
      <c r="F55" s="13" t="str">
        <f>VLOOKUP(C55,Sleep!C:F,4,FALSE)</f>
        <v>#N/A</v>
      </c>
    </row>
    <row r="56" hidden="1">
      <c r="A56" s="4">
        <v>1.624580081E9</v>
      </c>
      <c r="B56" s="5">
        <v>42495.0</v>
      </c>
      <c r="C56" s="4" t="str">
        <f t="shared" si="1"/>
        <v>162458008142495</v>
      </c>
      <c r="D56" s="4">
        <v>2470.0</v>
      </c>
      <c r="E56" s="4"/>
      <c r="F56" s="13" t="str">
        <f>VLOOKUP(C56,Sleep!C:F,4,FALSE)</f>
        <v>#N/A</v>
      </c>
    </row>
    <row r="57" hidden="1">
      <c r="A57" s="4">
        <v>1.624580081E9</v>
      </c>
      <c r="B57" s="5">
        <v>42496.0</v>
      </c>
      <c r="C57" s="4" t="str">
        <f t="shared" si="1"/>
        <v>162458008142496</v>
      </c>
      <c r="D57" s="4">
        <v>1727.0</v>
      </c>
      <c r="E57" s="4"/>
      <c r="F57" s="13" t="str">
        <f>VLOOKUP(C57,Sleep!C:F,4,FALSE)</f>
        <v>#N/A</v>
      </c>
    </row>
    <row r="58" hidden="1">
      <c r="A58" s="4">
        <v>1.624580081E9</v>
      </c>
      <c r="B58" s="5">
        <v>42497.0</v>
      </c>
      <c r="C58" s="4" t="str">
        <f t="shared" si="1"/>
        <v>162458008142497</v>
      </c>
      <c r="D58" s="4">
        <v>2104.0</v>
      </c>
      <c r="E58" s="4"/>
      <c r="F58" s="13" t="str">
        <f>VLOOKUP(C58,Sleep!C:F,4,FALSE)</f>
        <v>#N/A</v>
      </c>
    </row>
    <row r="59" hidden="1">
      <c r="A59" s="4">
        <v>1.624580081E9</v>
      </c>
      <c r="B59" s="5">
        <v>42498.0</v>
      </c>
      <c r="C59" s="4" t="str">
        <f t="shared" si="1"/>
        <v>162458008142498</v>
      </c>
      <c r="D59" s="4">
        <v>3427.0</v>
      </c>
      <c r="E59" s="4"/>
      <c r="F59" s="13" t="str">
        <f>VLOOKUP(C59,Sleep!C:F,4,FALSE)</f>
        <v>#N/A</v>
      </c>
    </row>
    <row r="60" hidden="1">
      <c r="A60" s="4">
        <v>1.624580081E9</v>
      </c>
      <c r="B60" s="5">
        <v>42499.0</v>
      </c>
      <c r="C60" s="4" t="str">
        <f t="shared" si="1"/>
        <v>162458008142499</v>
      </c>
      <c r="D60" s="4">
        <v>1732.0</v>
      </c>
      <c r="E60" s="4"/>
      <c r="F60" s="13" t="str">
        <f>VLOOKUP(C60,Sleep!C:F,4,FALSE)</f>
        <v>#N/A</v>
      </c>
    </row>
    <row r="61" hidden="1">
      <c r="A61" s="4">
        <v>1.624580081E9</v>
      </c>
      <c r="B61" s="5">
        <v>42500.0</v>
      </c>
      <c r="C61" s="4" t="str">
        <f t="shared" si="1"/>
        <v>162458008142500</v>
      </c>
      <c r="D61" s="4">
        <v>2969.0</v>
      </c>
      <c r="E61" s="4"/>
      <c r="F61" s="13" t="str">
        <f>VLOOKUP(C61,Sleep!C:F,4,FALSE)</f>
        <v>#N/A</v>
      </c>
    </row>
    <row r="62" hidden="1">
      <c r="A62" s="4">
        <v>1.624580081E9</v>
      </c>
      <c r="B62" s="5">
        <v>42501.0</v>
      </c>
      <c r="C62" s="4" t="str">
        <f t="shared" si="1"/>
        <v>162458008142501</v>
      </c>
      <c r="D62" s="4">
        <v>3134.0</v>
      </c>
      <c r="E62" s="4"/>
      <c r="F62" s="13" t="str">
        <f>VLOOKUP(C62,Sleep!C:F,4,FALSE)</f>
        <v>#N/A</v>
      </c>
    </row>
    <row r="63" hidden="1">
      <c r="A63" s="4">
        <v>1.624580081E9</v>
      </c>
      <c r="B63" s="5">
        <v>42502.0</v>
      </c>
      <c r="C63" s="4" t="str">
        <f t="shared" si="1"/>
        <v>162458008142502</v>
      </c>
      <c r="D63" s="4">
        <v>2971.0</v>
      </c>
      <c r="E63" s="4"/>
      <c r="F63" s="13" t="str">
        <f>VLOOKUP(C63,Sleep!C:F,4,FALSE)</f>
        <v>#N/A</v>
      </c>
    </row>
    <row r="64" hidden="1">
      <c r="A64" s="4">
        <v>1.644430081E9</v>
      </c>
      <c r="B64" s="5">
        <v>42472.0</v>
      </c>
      <c r="C64" s="4" t="str">
        <f t="shared" si="1"/>
        <v>164443008142472</v>
      </c>
      <c r="D64" s="4">
        <v>10694.0</v>
      </c>
      <c r="E64" s="4"/>
      <c r="F64" s="13" t="str">
        <f>VLOOKUP(C64,Sleep!C:F,4,FALSE)</f>
        <v>#N/A</v>
      </c>
    </row>
    <row r="65" hidden="1">
      <c r="A65" s="4">
        <v>1.644430081E9</v>
      </c>
      <c r="B65" s="5">
        <v>42473.0</v>
      </c>
      <c r="C65" s="4" t="str">
        <f t="shared" si="1"/>
        <v>164443008142473</v>
      </c>
      <c r="D65" s="4">
        <v>8001.0</v>
      </c>
      <c r="E65" s="4"/>
      <c r="F65" s="13" t="str">
        <f>VLOOKUP(C65,Sleep!C:F,4,FALSE)</f>
        <v>#N/A</v>
      </c>
    </row>
    <row r="66" hidden="1">
      <c r="A66" s="4">
        <v>1.644430081E9</v>
      </c>
      <c r="B66" s="5">
        <v>42474.0</v>
      </c>
      <c r="C66" s="4" t="str">
        <f t="shared" si="1"/>
        <v>164443008142474</v>
      </c>
      <c r="D66" s="4">
        <v>11037.0</v>
      </c>
      <c r="E66" s="4"/>
      <c r="F66" s="13" t="str">
        <f>VLOOKUP(C66,Sleep!C:F,4,FALSE)</f>
        <v>#N/A</v>
      </c>
    </row>
    <row r="67" hidden="1">
      <c r="A67" s="4">
        <v>1.644430081E9</v>
      </c>
      <c r="B67" s="5">
        <v>42475.0</v>
      </c>
      <c r="C67" s="4" t="str">
        <f t="shared" si="1"/>
        <v>164443008142475</v>
      </c>
      <c r="D67" s="4">
        <v>5263.0</v>
      </c>
      <c r="E67" s="4"/>
      <c r="F67" s="13" t="str">
        <f>VLOOKUP(C67,Sleep!C:F,4,FALSE)</f>
        <v>#N/A</v>
      </c>
    </row>
    <row r="68" hidden="1">
      <c r="A68" s="4">
        <v>1.644430081E9</v>
      </c>
      <c r="B68" s="5">
        <v>42476.0</v>
      </c>
      <c r="C68" s="4" t="str">
        <f t="shared" si="1"/>
        <v>164443008142476</v>
      </c>
      <c r="D68" s="4">
        <v>15300.0</v>
      </c>
      <c r="E68" s="4"/>
      <c r="F68" s="13" t="str">
        <f>VLOOKUP(C68,Sleep!C:F,4,FALSE)</f>
        <v>#N/A</v>
      </c>
    </row>
    <row r="69" hidden="1">
      <c r="A69" s="4">
        <v>1.644430081E9</v>
      </c>
      <c r="B69" s="5">
        <v>42477.0</v>
      </c>
      <c r="C69" s="4" t="str">
        <f t="shared" si="1"/>
        <v>164443008142477</v>
      </c>
      <c r="D69" s="4">
        <v>8757.0</v>
      </c>
      <c r="E69" s="4"/>
      <c r="F69" s="13" t="str">
        <f>VLOOKUP(C69,Sleep!C:F,4,FALSE)</f>
        <v>#N/A</v>
      </c>
    </row>
    <row r="70" hidden="1">
      <c r="A70" s="4">
        <v>1.644430081E9</v>
      </c>
      <c r="B70" s="5">
        <v>42478.0</v>
      </c>
      <c r="C70" s="4" t="str">
        <f t="shared" si="1"/>
        <v>164443008142478</v>
      </c>
      <c r="D70" s="4">
        <v>7132.0</v>
      </c>
      <c r="E70" s="4"/>
      <c r="F70" s="13" t="str">
        <f>VLOOKUP(C70,Sleep!C:F,4,FALSE)</f>
        <v>#N/A</v>
      </c>
    </row>
    <row r="71" hidden="1">
      <c r="A71" s="4">
        <v>1.644430081E9</v>
      </c>
      <c r="B71" s="5">
        <v>42479.0</v>
      </c>
      <c r="C71" s="4" t="str">
        <f t="shared" si="1"/>
        <v>164443008142479</v>
      </c>
      <c r="D71" s="4">
        <v>11256.0</v>
      </c>
      <c r="E71" s="4"/>
      <c r="F71" s="13" t="str">
        <f>VLOOKUP(C71,Sleep!C:F,4,FALSE)</f>
        <v>#N/A</v>
      </c>
    </row>
    <row r="72" hidden="1">
      <c r="A72" s="4">
        <v>1.644430081E9</v>
      </c>
      <c r="B72" s="5">
        <v>42480.0</v>
      </c>
      <c r="C72" s="4" t="str">
        <f t="shared" si="1"/>
        <v>164443008142480</v>
      </c>
      <c r="D72" s="4">
        <v>2436.0</v>
      </c>
      <c r="E72" s="4"/>
      <c r="F72" s="13" t="str">
        <f>VLOOKUP(C72,Sleep!C:F,4,FALSE)</f>
        <v>#N/A</v>
      </c>
    </row>
    <row r="73" hidden="1">
      <c r="A73" s="4">
        <v>1.644430081E9</v>
      </c>
      <c r="B73" s="5">
        <v>42481.0</v>
      </c>
      <c r="C73" s="4" t="str">
        <f t="shared" si="1"/>
        <v>164443008142481</v>
      </c>
      <c r="D73" s="4">
        <v>1223.0</v>
      </c>
      <c r="E73" s="4"/>
      <c r="F73" s="13" t="str">
        <f>VLOOKUP(C73,Sleep!C:F,4,FALSE)</f>
        <v>#N/A</v>
      </c>
    </row>
    <row r="74" hidden="1">
      <c r="A74" s="4">
        <v>1.644430081E9</v>
      </c>
      <c r="B74" s="5">
        <v>42482.0</v>
      </c>
      <c r="C74" s="4" t="str">
        <f t="shared" si="1"/>
        <v>164443008142482</v>
      </c>
      <c r="D74" s="4">
        <v>3673.0</v>
      </c>
      <c r="E74" s="4"/>
      <c r="F74" s="13" t="str">
        <f>VLOOKUP(C74,Sleep!C:F,4,FALSE)</f>
        <v>#N/A</v>
      </c>
    </row>
    <row r="75" hidden="1">
      <c r="A75" s="4">
        <v>1.644430081E9</v>
      </c>
      <c r="B75" s="5">
        <v>42483.0</v>
      </c>
      <c r="C75" s="4" t="str">
        <f t="shared" si="1"/>
        <v>164443008142483</v>
      </c>
      <c r="D75" s="4">
        <v>6637.0</v>
      </c>
      <c r="E75" s="4"/>
      <c r="F75" s="13" t="str">
        <f>VLOOKUP(C75,Sleep!C:F,4,FALSE)</f>
        <v>#N/A</v>
      </c>
    </row>
    <row r="76" hidden="1">
      <c r="A76" s="4">
        <v>1.644430081E9</v>
      </c>
      <c r="B76" s="5">
        <v>42484.0</v>
      </c>
      <c r="C76" s="4" t="str">
        <f t="shared" si="1"/>
        <v>164443008142484</v>
      </c>
      <c r="D76" s="4">
        <v>3321.0</v>
      </c>
      <c r="E76" s="4"/>
      <c r="F76" s="13" t="str">
        <f>VLOOKUP(C76,Sleep!C:F,4,FALSE)</f>
        <v>#N/A</v>
      </c>
    </row>
    <row r="77" hidden="1">
      <c r="A77" s="4">
        <v>1.644430081E9</v>
      </c>
      <c r="B77" s="5">
        <v>42485.0</v>
      </c>
      <c r="C77" s="4" t="str">
        <f t="shared" si="1"/>
        <v>164443008142485</v>
      </c>
      <c r="D77" s="4">
        <v>3580.0</v>
      </c>
      <c r="E77" s="4"/>
      <c r="F77" s="13" t="str">
        <f>VLOOKUP(C77,Sleep!C:F,4,FALSE)</f>
        <v>#N/A</v>
      </c>
    </row>
    <row r="78" hidden="1">
      <c r="A78" s="4">
        <v>1.644430081E9</v>
      </c>
      <c r="B78" s="5">
        <v>42486.0</v>
      </c>
      <c r="C78" s="4" t="str">
        <f t="shared" si="1"/>
        <v>164443008142486</v>
      </c>
      <c r="D78" s="4">
        <v>9919.0</v>
      </c>
      <c r="E78" s="4"/>
      <c r="F78" s="13" t="str">
        <f>VLOOKUP(C78,Sleep!C:F,4,FALSE)</f>
        <v>#N/A</v>
      </c>
    </row>
    <row r="79" hidden="1">
      <c r="A79" s="4">
        <v>1.644430081E9</v>
      </c>
      <c r="B79" s="5">
        <v>42487.0</v>
      </c>
      <c r="C79" s="4" t="str">
        <f t="shared" si="1"/>
        <v>164443008142487</v>
      </c>
      <c r="D79" s="4">
        <v>3032.0</v>
      </c>
      <c r="E79" s="4"/>
      <c r="F79" s="13" t="str">
        <f>VLOOKUP(C79,Sleep!C:F,4,FALSE)</f>
        <v>#N/A</v>
      </c>
    </row>
    <row r="80" hidden="1">
      <c r="A80" s="4">
        <v>1.644430081E9</v>
      </c>
      <c r="B80" s="5">
        <v>42488.0</v>
      </c>
      <c r="C80" s="4" t="str">
        <f t="shared" si="1"/>
        <v>164443008142488</v>
      </c>
      <c r="D80" s="4">
        <v>9405.0</v>
      </c>
      <c r="E80" s="4"/>
      <c r="F80" s="13" t="str">
        <f>VLOOKUP(C80,Sleep!C:F,4,FALSE)</f>
        <v>#N/A</v>
      </c>
    </row>
    <row r="81">
      <c r="A81" s="4">
        <v>1.644430081E9</v>
      </c>
      <c r="B81" s="5">
        <v>42489.0</v>
      </c>
      <c r="C81" s="4" t="str">
        <f t="shared" si="1"/>
        <v>164443008142489</v>
      </c>
      <c r="D81" s="4">
        <v>3176.0</v>
      </c>
      <c r="E81" s="13" t="str">
        <f t="shared" ref="E81:E82" si="8">IF(D81&lt;5000, "LOW",IF(D81&lt;10000,"MEDIUM","HIGH"))</f>
        <v>LOW</v>
      </c>
      <c r="F81" s="16">
        <f>VLOOKUP(C81,Sleep!C:F,4,FALSE)</f>
        <v>0.08263888889</v>
      </c>
      <c r="G81" s="12">
        <f>VLOOKUP(C81,Sleep!C:I,7,FALSE)</f>
        <v>0.937007874</v>
      </c>
    </row>
    <row r="82">
      <c r="A82" s="4">
        <v>1.644430081E9</v>
      </c>
      <c r="B82" s="5">
        <v>42490.0</v>
      </c>
      <c r="C82" s="4" t="str">
        <f t="shared" si="1"/>
        <v>164443008142490</v>
      </c>
      <c r="D82" s="4">
        <v>18213.0</v>
      </c>
      <c r="E82" s="13" t="str">
        <f t="shared" si="8"/>
        <v>HIGH</v>
      </c>
      <c r="F82" s="16">
        <f>VLOOKUP(C82,Sleep!C:F,4,FALSE)</f>
        <v>0.08611111111</v>
      </c>
      <c r="G82" s="12">
        <f>VLOOKUP(C82,Sleep!C:I,7,FALSE)</f>
        <v>0.8732394366</v>
      </c>
    </row>
    <row r="83" hidden="1">
      <c r="A83" s="4">
        <v>1.644430081E9</v>
      </c>
      <c r="B83" s="5">
        <v>42491.0</v>
      </c>
      <c r="C83" s="4" t="str">
        <f t="shared" si="1"/>
        <v>164443008142491</v>
      </c>
      <c r="D83" s="4">
        <v>6132.0</v>
      </c>
      <c r="E83" s="4"/>
      <c r="F83" s="13" t="str">
        <f>VLOOKUP(C83,Sleep!C:F,4,FALSE)</f>
        <v>#N/A</v>
      </c>
    </row>
    <row r="84">
      <c r="A84" s="4">
        <v>1.644430081E9</v>
      </c>
      <c r="B84" s="5">
        <v>42492.0</v>
      </c>
      <c r="C84" s="4" t="str">
        <f t="shared" si="1"/>
        <v>164443008142492</v>
      </c>
      <c r="D84" s="4">
        <v>3758.0</v>
      </c>
      <c r="E84" s="13" t="str">
        <f>IF(D84&lt;5000, "LOW",IF(D84&lt;10000,"MEDIUM","HIGH"))</f>
        <v>LOW</v>
      </c>
      <c r="F84" s="16">
        <f>VLOOKUP(C84,Sleep!C:F,4,FALSE)</f>
        <v>0.5527777778</v>
      </c>
      <c r="G84" s="12">
        <f>VLOOKUP(C84,Sleep!C:I,7,FALSE)</f>
        <v>0.8283038502</v>
      </c>
    </row>
    <row r="85" hidden="1">
      <c r="A85" s="4">
        <v>1.644430081E9</v>
      </c>
      <c r="B85" s="5">
        <v>42493.0</v>
      </c>
      <c r="C85" s="4" t="str">
        <f t="shared" si="1"/>
        <v>164443008142493</v>
      </c>
      <c r="D85" s="4">
        <v>12850.0</v>
      </c>
      <c r="E85" s="4"/>
      <c r="F85" s="13" t="str">
        <f>VLOOKUP(C85,Sleep!C:F,4,FALSE)</f>
        <v>#N/A</v>
      </c>
    </row>
    <row r="86" hidden="1">
      <c r="A86" s="4">
        <v>1.644430081E9</v>
      </c>
      <c r="B86" s="5">
        <v>42494.0</v>
      </c>
      <c r="C86" s="4" t="str">
        <f t="shared" si="1"/>
        <v>164443008142494</v>
      </c>
      <c r="D86" s="4">
        <v>2309.0</v>
      </c>
      <c r="E86" s="4"/>
      <c r="F86" s="13" t="str">
        <f>VLOOKUP(C86,Sleep!C:F,4,FALSE)</f>
        <v>#N/A</v>
      </c>
    </row>
    <row r="87" hidden="1">
      <c r="A87" s="4">
        <v>1.644430081E9</v>
      </c>
      <c r="B87" s="5">
        <v>42495.0</v>
      </c>
      <c r="C87" s="4" t="str">
        <f t="shared" si="1"/>
        <v>164443008142495</v>
      </c>
      <c r="D87" s="4">
        <v>4363.0</v>
      </c>
      <c r="E87" s="4"/>
      <c r="F87" s="13" t="str">
        <f>VLOOKUP(C87,Sleep!C:F,4,FALSE)</f>
        <v>#N/A</v>
      </c>
    </row>
    <row r="88" hidden="1">
      <c r="A88" s="4">
        <v>1.644430081E9</v>
      </c>
      <c r="B88" s="5">
        <v>42496.0</v>
      </c>
      <c r="C88" s="4" t="str">
        <f t="shared" si="1"/>
        <v>164443008142496</v>
      </c>
      <c r="D88" s="4">
        <v>9787.0</v>
      </c>
      <c r="E88" s="4"/>
      <c r="F88" s="13" t="str">
        <f>VLOOKUP(C88,Sleep!C:F,4,FALSE)</f>
        <v>#N/A</v>
      </c>
    </row>
    <row r="89" hidden="1">
      <c r="A89" s="4">
        <v>1.644430081E9</v>
      </c>
      <c r="B89" s="5">
        <v>42497.0</v>
      </c>
      <c r="C89" s="4" t="str">
        <f t="shared" si="1"/>
        <v>164443008142497</v>
      </c>
      <c r="D89" s="4">
        <v>13372.0</v>
      </c>
      <c r="E89" s="4"/>
      <c r="F89" s="13" t="str">
        <f>VLOOKUP(C89,Sleep!C:F,4,FALSE)</f>
        <v>#N/A</v>
      </c>
    </row>
    <row r="90">
      <c r="A90" s="4">
        <v>1.644430081E9</v>
      </c>
      <c r="B90" s="5">
        <v>42498.0</v>
      </c>
      <c r="C90" s="4" t="str">
        <f t="shared" si="1"/>
        <v>164443008142498</v>
      </c>
      <c r="D90" s="4">
        <v>6724.0</v>
      </c>
      <c r="E90" s="13" t="str">
        <f>IF(D90&lt;5000, "LOW",IF(D90&lt;10000,"MEDIUM","HIGH"))</f>
        <v>MEDIUM</v>
      </c>
      <c r="F90" s="16">
        <f>VLOOKUP(C90,Sleep!C:F,4,FALSE)</f>
        <v>0.09513888889</v>
      </c>
      <c r="G90" s="12">
        <f>VLOOKUP(C90,Sleep!C:I,7,FALSE)</f>
        <v>0.8896103896</v>
      </c>
    </row>
    <row r="91" hidden="1">
      <c r="A91" s="4">
        <v>1.644430081E9</v>
      </c>
      <c r="B91" s="5">
        <v>42499.0</v>
      </c>
      <c r="C91" s="4" t="str">
        <f t="shared" si="1"/>
        <v>164443008142499</v>
      </c>
      <c r="D91" s="4">
        <v>6643.0</v>
      </c>
      <c r="E91" s="4"/>
      <c r="F91" s="13" t="str">
        <f>VLOOKUP(C91,Sleep!C:F,4,FALSE)</f>
        <v>#N/A</v>
      </c>
    </row>
    <row r="92" hidden="1">
      <c r="A92" s="4">
        <v>1.644430081E9</v>
      </c>
      <c r="B92" s="5">
        <v>42500.0</v>
      </c>
      <c r="C92" s="4" t="str">
        <f t="shared" si="1"/>
        <v>164443008142500</v>
      </c>
      <c r="D92" s="4">
        <v>9167.0</v>
      </c>
      <c r="E92" s="4"/>
      <c r="F92" s="13" t="str">
        <f>VLOOKUP(C92,Sleep!C:F,4,FALSE)</f>
        <v>#N/A</v>
      </c>
    </row>
    <row r="93" hidden="1">
      <c r="A93" s="4">
        <v>1.644430081E9</v>
      </c>
      <c r="B93" s="5">
        <v>42501.0</v>
      </c>
      <c r="C93" s="4" t="str">
        <f t="shared" si="1"/>
        <v>164443008142501</v>
      </c>
      <c r="D93" s="4">
        <v>1329.0</v>
      </c>
      <c r="E93" s="4"/>
      <c r="F93" s="13" t="str">
        <f>VLOOKUP(C93,Sleep!C:F,4,FALSE)</f>
        <v>#N/A</v>
      </c>
    </row>
    <row r="94" hidden="1">
      <c r="A94" s="4">
        <v>1.844505072E9</v>
      </c>
      <c r="B94" s="5">
        <v>42472.0</v>
      </c>
      <c r="C94" s="4" t="str">
        <f t="shared" si="1"/>
        <v>184450507242472</v>
      </c>
      <c r="D94" s="4">
        <v>6697.0</v>
      </c>
      <c r="E94" s="4"/>
      <c r="F94" s="13" t="str">
        <f>VLOOKUP(C94,Sleep!C:F,4,FALSE)</f>
        <v>#N/A</v>
      </c>
    </row>
    <row r="95" hidden="1">
      <c r="A95" s="4">
        <v>1.844505072E9</v>
      </c>
      <c r="B95" s="5">
        <v>42473.0</v>
      </c>
      <c r="C95" s="4" t="str">
        <f t="shared" si="1"/>
        <v>184450507242473</v>
      </c>
      <c r="D95" s="4">
        <v>4929.0</v>
      </c>
      <c r="E95" s="4"/>
      <c r="F95" s="13" t="str">
        <f>VLOOKUP(C95,Sleep!C:F,4,FALSE)</f>
        <v>#N/A</v>
      </c>
    </row>
    <row r="96" hidden="1">
      <c r="A96" s="4">
        <v>1.844505072E9</v>
      </c>
      <c r="B96" s="5">
        <v>42474.0</v>
      </c>
      <c r="C96" s="4" t="str">
        <f t="shared" si="1"/>
        <v>184450507242474</v>
      </c>
      <c r="D96" s="4">
        <v>7937.0</v>
      </c>
      <c r="E96" s="4"/>
      <c r="F96" s="13" t="str">
        <f>VLOOKUP(C96,Sleep!C:F,4,FALSE)</f>
        <v>#N/A</v>
      </c>
    </row>
    <row r="97">
      <c r="A97" s="4">
        <v>1.844505072E9</v>
      </c>
      <c r="B97" s="5">
        <v>42475.0</v>
      </c>
      <c r="C97" s="4" t="str">
        <f t="shared" si="1"/>
        <v>184450507242475</v>
      </c>
      <c r="D97" s="4">
        <v>3844.0</v>
      </c>
      <c r="E97" s="13" t="str">
        <f>IF(D97&lt;5000, "LOW",IF(D97&lt;10000,"MEDIUM","HIGH"))</f>
        <v>LOW</v>
      </c>
      <c r="F97" s="16">
        <f>VLOOKUP(C97,Sleep!C:F,4,FALSE)</f>
        <v>0.4472222222</v>
      </c>
      <c r="G97" s="12">
        <f>VLOOKUP(C97,Sleep!C:I,7,FALSE)</f>
        <v>0.6701352758</v>
      </c>
    </row>
    <row r="98" hidden="1">
      <c r="A98" s="4">
        <v>1.844505072E9</v>
      </c>
      <c r="B98" s="5">
        <v>42476.0</v>
      </c>
      <c r="C98" s="4" t="str">
        <f t="shared" si="1"/>
        <v>184450507242476</v>
      </c>
      <c r="D98" s="4">
        <v>3414.0</v>
      </c>
      <c r="E98" s="4"/>
      <c r="F98" s="13" t="str">
        <f>VLOOKUP(C98,Sleep!C:F,4,FALSE)</f>
        <v>#N/A</v>
      </c>
    </row>
    <row r="99" hidden="1">
      <c r="A99" s="4">
        <v>1.844505072E9</v>
      </c>
      <c r="B99" s="5">
        <v>42477.0</v>
      </c>
      <c r="C99" s="4" t="str">
        <f t="shared" si="1"/>
        <v>184450507242477</v>
      </c>
      <c r="D99" s="4">
        <v>4525.0</v>
      </c>
      <c r="E99" s="4"/>
      <c r="F99" s="13" t="str">
        <f>VLOOKUP(C99,Sleep!C:F,4,FALSE)</f>
        <v>#N/A</v>
      </c>
    </row>
    <row r="100" hidden="1">
      <c r="A100" s="4">
        <v>1.844505072E9</v>
      </c>
      <c r="B100" s="5">
        <v>42478.0</v>
      </c>
      <c r="C100" s="4" t="str">
        <f t="shared" si="1"/>
        <v>184450507242478</v>
      </c>
      <c r="D100" s="4">
        <v>4597.0</v>
      </c>
      <c r="E100" s="4"/>
      <c r="F100" s="13" t="str">
        <f>VLOOKUP(C100,Sleep!C:F,4,FALSE)</f>
        <v>#N/A</v>
      </c>
    </row>
    <row r="101" hidden="1">
      <c r="A101" s="4">
        <v>1.844505072E9</v>
      </c>
      <c r="B101" s="5">
        <v>42479.0</v>
      </c>
      <c r="C101" s="4" t="str">
        <f t="shared" si="1"/>
        <v>184450507242479</v>
      </c>
      <c r="D101" s="4">
        <v>197.0</v>
      </c>
      <c r="E101" s="4"/>
      <c r="F101" s="13" t="str">
        <f>VLOOKUP(C101,Sleep!C:F,4,FALSE)</f>
        <v>#N/A</v>
      </c>
    </row>
    <row r="102" hidden="1">
      <c r="A102" s="4">
        <v>1.844505072E9</v>
      </c>
      <c r="B102" s="5">
        <v>42480.0</v>
      </c>
      <c r="C102" s="4" t="str">
        <f t="shared" si="1"/>
        <v>184450507242480</v>
      </c>
      <c r="D102" s="4">
        <v>8.0</v>
      </c>
      <c r="E102" s="4"/>
      <c r="F102" s="13" t="str">
        <f>VLOOKUP(C102,Sleep!C:F,4,FALSE)</f>
        <v>#N/A</v>
      </c>
    </row>
    <row r="103" hidden="1">
      <c r="A103" s="4">
        <v>1.844505072E9</v>
      </c>
      <c r="B103" s="5">
        <v>42481.0</v>
      </c>
      <c r="C103" s="4" t="str">
        <f t="shared" si="1"/>
        <v>184450507242481</v>
      </c>
      <c r="D103" s="4">
        <v>8054.0</v>
      </c>
      <c r="E103" s="4"/>
      <c r="F103" s="13" t="str">
        <f>VLOOKUP(C103,Sleep!C:F,4,FALSE)</f>
        <v>#N/A</v>
      </c>
    </row>
    <row r="104" hidden="1">
      <c r="A104" s="4">
        <v>1.844505072E9</v>
      </c>
      <c r="B104" s="5">
        <v>42482.0</v>
      </c>
      <c r="C104" s="4" t="str">
        <f t="shared" si="1"/>
        <v>184450507242482</v>
      </c>
      <c r="D104" s="4">
        <v>5372.0</v>
      </c>
      <c r="E104" s="4"/>
      <c r="F104" s="13" t="str">
        <f>VLOOKUP(C104,Sleep!C:F,4,FALSE)</f>
        <v>#N/A</v>
      </c>
    </row>
    <row r="105" hidden="1">
      <c r="A105" s="4">
        <v>1.844505072E9</v>
      </c>
      <c r="B105" s="5">
        <v>42483.0</v>
      </c>
      <c r="C105" s="4" t="str">
        <f t="shared" si="1"/>
        <v>184450507242483</v>
      </c>
      <c r="D105" s="4">
        <v>3570.0</v>
      </c>
      <c r="E105" s="4"/>
      <c r="F105" s="13" t="str">
        <f>VLOOKUP(C105,Sleep!C:F,4,FALSE)</f>
        <v>#N/A</v>
      </c>
    </row>
    <row r="106" hidden="1">
      <c r="A106" s="4">
        <v>1.844505072E9</v>
      </c>
      <c r="B106" s="5">
        <v>42484.0</v>
      </c>
      <c r="C106" s="4" t="str">
        <f t="shared" si="1"/>
        <v>184450507242484</v>
      </c>
      <c r="D106" s="4">
        <v>0.0</v>
      </c>
      <c r="E106" s="4"/>
      <c r="F106" s="13" t="str">
        <f>VLOOKUP(C106,Sleep!C:F,4,FALSE)</f>
        <v>#N/A</v>
      </c>
    </row>
    <row r="107" hidden="1">
      <c r="A107" s="4">
        <v>1.844505072E9</v>
      </c>
      <c r="B107" s="5">
        <v>42485.0</v>
      </c>
      <c r="C107" s="4" t="str">
        <f t="shared" si="1"/>
        <v>184450507242485</v>
      </c>
      <c r="D107" s="4">
        <v>0.0</v>
      </c>
      <c r="E107" s="4"/>
      <c r="F107" s="13" t="str">
        <f>VLOOKUP(C107,Sleep!C:F,4,FALSE)</f>
        <v>#N/A</v>
      </c>
    </row>
    <row r="108" hidden="1">
      <c r="A108" s="4">
        <v>1.844505072E9</v>
      </c>
      <c r="B108" s="5">
        <v>42486.0</v>
      </c>
      <c r="C108" s="4" t="str">
        <f t="shared" si="1"/>
        <v>184450507242486</v>
      </c>
      <c r="D108" s="4">
        <v>0.0</v>
      </c>
      <c r="E108" s="4"/>
      <c r="F108" s="13" t="str">
        <f>VLOOKUP(C108,Sleep!C:F,4,FALSE)</f>
        <v>#N/A</v>
      </c>
    </row>
    <row r="109" hidden="1">
      <c r="A109" s="4">
        <v>1.844505072E9</v>
      </c>
      <c r="B109" s="5">
        <v>42487.0</v>
      </c>
      <c r="C109" s="4" t="str">
        <f t="shared" si="1"/>
        <v>184450507242487</v>
      </c>
      <c r="D109" s="4">
        <v>4.0</v>
      </c>
      <c r="E109" s="4"/>
      <c r="F109" s="13" t="str">
        <f>VLOOKUP(C109,Sleep!C:F,4,FALSE)</f>
        <v>#N/A</v>
      </c>
    </row>
    <row r="110" hidden="1">
      <c r="A110" s="4">
        <v>1.844505072E9</v>
      </c>
      <c r="B110" s="5">
        <v>42488.0</v>
      </c>
      <c r="C110" s="4" t="str">
        <f t="shared" si="1"/>
        <v>184450507242488</v>
      </c>
      <c r="D110" s="4">
        <v>6907.0</v>
      </c>
      <c r="E110" s="4"/>
      <c r="F110" s="13" t="str">
        <f>VLOOKUP(C110,Sleep!C:F,4,FALSE)</f>
        <v>#N/A</v>
      </c>
    </row>
    <row r="111" hidden="1">
      <c r="A111" s="4">
        <v>1.844505072E9</v>
      </c>
      <c r="B111" s="5">
        <v>42489.0</v>
      </c>
      <c r="C111" s="4" t="str">
        <f t="shared" si="1"/>
        <v>184450507242489</v>
      </c>
      <c r="D111" s="4">
        <v>4920.0</v>
      </c>
      <c r="E111" s="4"/>
      <c r="F111" s="13" t="str">
        <f>VLOOKUP(C111,Sleep!C:F,4,FALSE)</f>
        <v>#N/A</v>
      </c>
    </row>
    <row r="112">
      <c r="A112" s="4">
        <v>1.844505072E9</v>
      </c>
      <c r="B112" s="5">
        <v>42490.0</v>
      </c>
      <c r="C112" s="4" t="str">
        <f t="shared" si="1"/>
        <v>184450507242490</v>
      </c>
      <c r="D112" s="4">
        <v>4014.0</v>
      </c>
      <c r="E112" s="13" t="str">
        <f t="shared" ref="E112:E113" si="9">IF(D112&lt;5000, "LOW",IF(D112&lt;10000,"MEDIUM","HIGH"))</f>
        <v>LOW</v>
      </c>
      <c r="F112" s="16">
        <f>VLOOKUP(C112,Sleep!C:F,4,FALSE)</f>
        <v>0.5013888889</v>
      </c>
      <c r="G112" s="12">
        <f>VLOOKUP(C112,Sleep!C:I,7,FALSE)</f>
        <v>0.7513007284</v>
      </c>
    </row>
    <row r="113">
      <c r="A113" s="4">
        <v>1.844505072E9</v>
      </c>
      <c r="B113" s="5">
        <v>42491.0</v>
      </c>
      <c r="C113" s="4" t="str">
        <f t="shared" si="1"/>
        <v>184450507242491</v>
      </c>
      <c r="D113" s="4">
        <v>2573.0</v>
      </c>
      <c r="E113" s="13" t="str">
        <f t="shared" si="9"/>
        <v>LOW</v>
      </c>
      <c r="F113" s="16">
        <f>VLOOKUP(C113,Sleep!C:F,4,FALSE)</f>
        <v>0.4097222222</v>
      </c>
      <c r="G113" s="12">
        <f>VLOOKUP(C113,Sleep!C:I,7,FALSE)</f>
        <v>0.6139438085</v>
      </c>
    </row>
    <row r="114" hidden="1">
      <c r="A114" s="4">
        <v>1.844505072E9</v>
      </c>
      <c r="B114" s="5">
        <v>42492.0</v>
      </c>
      <c r="C114" s="4" t="str">
        <f t="shared" si="1"/>
        <v>184450507242492</v>
      </c>
      <c r="D114" s="4">
        <v>0.0</v>
      </c>
      <c r="E114" s="4"/>
      <c r="F114" s="13" t="str">
        <f>VLOOKUP(C114,Sleep!C:F,4,FALSE)</f>
        <v>#N/A</v>
      </c>
    </row>
    <row r="115" hidden="1">
      <c r="A115" s="4">
        <v>1.844505072E9</v>
      </c>
      <c r="B115" s="5">
        <v>42493.0</v>
      </c>
      <c r="C115" s="4" t="str">
        <f t="shared" si="1"/>
        <v>184450507242493</v>
      </c>
      <c r="D115" s="4">
        <v>4059.0</v>
      </c>
      <c r="E115" s="4"/>
      <c r="F115" s="13" t="str">
        <f>VLOOKUP(C115,Sleep!C:F,4,FALSE)</f>
        <v>#N/A</v>
      </c>
    </row>
    <row r="116" hidden="1">
      <c r="A116" s="4">
        <v>1.844505072E9</v>
      </c>
      <c r="B116" s="5">
        <v>42494.0</v>
      </c>
      <c r="C116" s="4" t="str">
        <f t="shared" si="1"/>
        <v>184450507242494</v>
      </c>
      <c r="D116" s="4">
        <v>2080.0</v>
      </c>
      <c r="E116" s="4"/>
      <c r="F116" s="13" t="str">
        <f>VLOOKUP(C116,Sleep!C:F,4,FALSE)</f>
        <v>#N/A</v>
      </c>
    </row>
    <row r="117" hidden="1">
      <c r="A117" s="4">
        <v>1.844505072E9</v>
      </c>
      <c r="B117" s="5">
        <v>42495.0</v>
      </c>
      <c r="C117" s="4" t="str">
        <f t="shared" si="1"/>
        <v>184450507242495</v>
      </c>
      <c r="D117" s="4">
        <v>2237.0</v>
      </c>
      <c r="E117" s="4"/>
      <c r="F117" s="13" t="str">
        <f>VLOOKUP(C117,Sleep!C:F,4,FALSE)</f>
        <v>#N/A</v>
      </c>
    </row>
    <row r="118" hidden="1">
      <c r="A118" s="4">
        <v>1.844505072E9</v>
      </c>
      <c r="B118" s="5">
        <v>42496.0</v>
      </c>
      <c r="C118" s="4" t="str">
        <f t="shared" si="1"/>
        <v>184450507242496</v>
      </c>
      <c r="D118" s="4">
        <v>44.0</v>
      </c>
      <c r="E118" s="4"/>
      <c r="F118" s="13" t="str">
        <f>VLOOKUP(C118,Sleep!C:F,4,FALSE)</f>
        <v>#N/A</v>
      </c>
    </row>
    <row r="119" hidden="1">
      <c r="A119" s="4">
        <v>1.844505072E9</v>
      </c>
      <c r="B119" s="5">
        <v>42497.0</v>
      </c>
      <c r="C119" s="4" t="str">
        <f t="shared" si="1"/>
        <v>184450507242497</v>
      </c>
      <c r="D119" s="4">
        <v>0.0</v>
      </c>
      <c r="E119" s="4"/>
      <c r="F119" s="13" t="str">
        <f>VLOOKUP(C119,Sleep!C:F,4,FALSE)</f>
        <v>#N/A</v>
      </c>
    </row>
    <row r="120" hidden="1">
      <c r="A120" s="4">
        <v>1.844505072E9</v>
      </c>
      <c r="B120" s="5">
        <v>42498.0</v>
      </c>
      <c r="C120" s="4" t="str">
        <f t="shared" si="1"/>
        <v>184450507242498</v>
      </c>
      <c r="D120" s="4">
        <v>0.0</v>
      </c>
      <c r="E120" s="4"/>
      <c r="F120" s="13" t="str">
        <f>VLOOKUP(C120,Sleep!C:F,4,FALSE)</f>
        <v>#N/A</v>
      </c>
    </row>
    <row r="121" hidden="1">
      <c r="A121" s="4">
        <v>1.844505072E9</v>
      </c>
      <c r="B121" s="5">
        <v>42499.0</v>
      </c>
      <c r="C121" s="4" t="str">
        <f t="shared" si="1"/>
        <v>184450507242499</v>
      </c>
      <c r="D121" s="4">
        <v>0.0</v>
      </c>
      <c r="E121" s="4"/>
      <c r="F121" s="13" t="str">
        <f>VLOOKUP(C121,Sleep!C:F,4,FALSE)</f>
        <v>#N/A</v>
      </c>
    </row>
    <row r="122" hidden="1">
      <c r="A122" s="4">
        <v>1.844505072E9</v>
      </c>
      <c r="B122" s="5">
        <v>42500.0</v>
      </c>
      <c r="C122" s="4" t="str">
        <f t="shared" si="1"/>
        <v>184450507242500</v>
      </c>
      <c r="D122" s="4">
        <v>0.0</v>
      </c>
      <c r="E122" s="4"/>
      <c r="F122" s="13" t="str">
        <f>VLOOKUP(C122,Sleep!C:F,4,FALSE)</f>
        <v>#N/A</v>
      </c>
    </row>
    <row r="123" hidden="1">
      <c r="A123" s="4">
        <v>1.844505072E9</v>
      </c>
      <c r="B123" s="5">
        <v>42501.0</v>
      </c>
      <c r="C123" s="4" t="str">
        <f t="shared" si="1"/>
        <v>184450507242501</v>
      </c>
      <c r="D123" s="4">
        <v>0.0</v>
      </c>
      <c r="E123" s="4"/>
      <c r="F123" s="13" t="str">
        <f>VLOOKUP(C123,Sleep!C:F,4,FALSE)</f>
        <v>#N/A</v>
      </c>
    </row>
    <row r="124" hidden="1">
      <c r="A124" s="4">
        <v>1.844505072E9</v>
      </c>
      <c r="B124" s="5">
        <v>42502.0</v>
      </c>
      <c r="C124" s="4" t="str">
        <f t="shared" si="1"/>
        <v>184450507242502</v>
      </c>
      <c r="D124" s="4">
        <v>0.0</v>
      </c>
      <c r="E124" s="4"/>
      <c r="F124" s="13" t="str">
        <f>VLOOKUP(C124,Sleep!C:F,4,FALSE)</f>
        <v>#N/A</v>
      </c>
    </row>
    <row r="125">
      <c r="A125" s="4">
        <v>1.927972279E9</v>
      </c>
      <c r="B125" s="5">
        <v>42472.0</v>
      </c>
      <c r="C125" s="4" t="str">
        <f t="shared" si="1"/>
        <v>192797227942472</v>
      </c>
      <c r="D125" s="4">
        <v>678.0</v>
      </c>
      <c r="E125" s="13" t="str">
        <f t="shared" ref="E125:E126" si="10">IF(D125&lt;5000, "LOW",IF(D125&lt;10000,"MEDIUM","HIGH"))</f>
        <v>LOW</v>
      </c>
      <c r="F125" s="16">
        <f>VLOOKUP(C125,Sleep!C:F,4,FALSE)</f>
        <v>0.5208333333</v>
      </c>
      <c r="G125" s="12">
        <f>VLOOKUP(C125,Sleep!C:I,7,FALSE)</f>
        <v>0.9677419355</v>
      </c>
    </row>
    <row r="126">
      <c r="A126" s="4">
        <v>1.927972279E9</v>
      </c>
      <c r="B126" s="5">
        <v>42473.0</v>
      </c>
      <c r="C126" s="4" t="str">
        <f t="shared" si="1"/>
        <v>192797227942473</v>
      </c>
      <c r="D126" s="4">
        <v>356.0</v>
      </c>
      <c r="E126" s="13" t="str">
        <f t="shared" si="10"/>
        <v>LOW</v>
      </c>
      <c r="F126" s="16">
        <f>VLOOKUP(C126,Sleep!C:F,4,FALSE)</f>
        <v>0.2763888889</v>
      </c>
      <c r="G126" s="12">
        <f>VLOOKUP(C126,Sleep!C:I,7,FALSE)</f>
        <v>0.9431279621</v>
      </c>
    </row>
    <row r="127" hidden="1">
      <c r="A127" s="4">
        <v>1.927972279E9</v>
      </c>
      <c r="B127" s="5">
        <v>42474.0</v>
      </c>
      <c r="C127" s="4" t="str">
        <f t="shared" si="1"/>
        <v>192797227942474</v>
      </c>
      <c r="D127" s="4">
        <v>2163.0</v>
      </c>
      <c r="E127" s="4"/>
      <c r="F127" s="13" t="str">
        <f>VLOOKUP(C127,Sleep!C:F,4,FALSE)</f>
        <v>#N/A</v>
      </c>
    </row>
    <row r="128">
      <c r="A128" s="4">
        <v>1.927972279E9</v>
      </c>
      <c r="B128" s="5">
        <v>42475.0</v>
      </c>
      <c r="C128" s="4" t="str">
        <f t="shared" si="1"/>
        <v>192797227942475</v>
      </c>
      <c r="D128" s="4">
        <v>980.0</v>
      </c>
      <c r="E128" s="13" t="str">
        <f>IF(D128&lt;5000, "LOW",IF(D128&lt;10000,"MEDIUM","HIGH"))</f>
        <v>LOW</v>
      </c>
      <c r="F128" s="16">
        <f>VLOOKUP(C128,Sleep!C:F,4,FALSE)</f>
        <v>0.3298611111</v>
      </c>
      <c r="G128" s="12">
        <f>VLOOKUP(C128,Sleep!C:I,7,FALSE)</f>
        <v>0.9519038076</v>
      </c>
    </row>
    <row r="129" hidden="1">
      <c r="A129" s="4">
        <v>1.927972279E9</v>
      </c>
      <c r="B129" s="5">
        <v>42476.0</v>
      </c>
      <c r="C129" s="4" t="str">
        <f t="shared" si="1"/>
        <v>192797227942476</v>
      </c>
      <c r="D129" s="4">
        <v>0.0</v>
      </c>
      <c r="E129" s="4"/>
      <c r="F129" s="13" t="str">
        <f>VLOOKUP(C129,Sleep!C:F,4,FALSE)</f>
        <v>#N/A</v>
      </c>
    </row>
    <row r="130" hidden="1">
      <c r="A130" s="4">
        <v>1.927972279E9</v>
      </c>
      <c r="B130" s="5">
        <v>42477.0</v>
      </c>
      <c r="C130" s="4" t="str">
        <f t="shared" si="1"/>
        <v>192797227942477</v>
      </c>
      <c r="D130" s="4">
        <v>0.0</v>
      </c>
      <c r="E130" s="4"/>
      <c r="F130" s="13" t="str">
        <f>VLOOKUP(C130,Sleep!C:F,4,FALSE)</f>
        <v>#N/A</v>
      </c>
    </row>
    <row r="131" hidden="1">
      <c r="A131" s="4">
        <v>1.927972279E9</v>
      </c>
      <c r="B131" s="5">
        <v>42478.0</v>
      </c>
      <c r="C131" s="4" t="str">
        <f t="shared" si="1"/>
        <v>192797227942478</v>
      </c>
      <c r="D131" s="4">
        <v>244.0</v>
      </c>
      <c r="E131" s="4"/>
      <c r="F131" s="13" t="str">
        <f>VLOOKUP(C131,Sleep!C:F,4,FALSE)</f>
        <v>#N/A</v>
      </c>
    </row>
    <row r="132" hidden="1">
      <c r="A132" s="4">
        <v>1.927972279E9</v>
      </c>
      <c r="B132" s="5">
        <v>42479.0</v>
      </c>
      <c r="C132" s="4" t="str">
        <f t="shared" si="1"/>
        <v>192797227942479</v>
      </c>
      <c r="D132" s="4">
        <v>0.0</v>
      </c>
      <c r="E132" s="4"/>
      <c r="F132" s="13" t="str">
        <f>VLOOKUP(C132,Sleep!C:F,4,FALSE)</f>
        <v>#N/A</v>
      </c>
    </row>
    <row r="133" hidden="1">
      <c r="A133" s="4">
        <v>1.927972279E9</v>
      </c>
      <c r="B133" s="5">
        <v>42480.0</v>
      </c>
      <c r="C133" s="4" t="str">
        <f t="shared" si="1"/>
        <v>192797227942480</v>
      </c>
      <c r="D133" s="4">
        <v>0.0</v>
      </c>
      <c r="E133" s="4"/>
      <c r="F133" s="13" t="str">
        <f>VLOOKUP(C133,Sleep!C:F,4,FALSE)</f>
        <v>#N/A</v>
      </c>
    </row>
    <row r="134" hidden="1">
      <c r="A134" s="4">
        <v>1.927972279E9</v>
      </c>
      <c r="B134" s="5">
        <v>42481.0</v>
      </c>
      <c r="C134" s="4" t="str">
        <f t="shared" si="1"/>
        <v>192797227942481</v>
      </c>
      <c r="D134" s="4">
        <v>0.0</v>
      </c>
      <c r="E134" s="4"/>
      <c r="F134" s="13" t="str">
        <f>VLOOKUP(C134,Sleep!C:F,4,FALSE)</f>
        <v>#N/A</v>
      </c>
    </row>
    <row r="135" hidden="1">
      <c r="A135" s="4">
        <v>1.927972279E9</v>
      </c>
      <c r="B135" s="5">
        <v>42482.0</v>
      </c>
      <c r="C135" s="4" t="str">
        <f t="shared" si="1"/>
        <v>192797227942482</v>
      </c>
      <c r="D135" s="4">
        <v>149.0</v>
      </c>
      <c r="E135" s="4"/>
      <c r="F135" s="13" t="str">
        <f>VLOOKUP(C135,Sleep!C:F,4,FALSE)</f>
        <v>#N/A</v>
      </c>
    </row>
    <row r="136" hidden="1">
      <c r="A136" s="4">
        <v>1.927972279E9</v>
      </c>
      <c r="B136" s="5">
        <v>42483.0</v>
      </c>
      <c r="C136" s="4" t="str">
        <f t="shared" si="1"/>
        <v>192797227942483</v>
      </c>
      <c r="D136" s="4">
        <v>2945.0</v>
      </c>
      <c r="E136" s="4"/>
      <c r="F136" s="13" t="str">
        <f>VLOOKUP(C136,Sleep!C:F,4,FALSE)</f>
        <v>#N/A</v>
      </c>
    </row>
    <row r="137" hidden="1">
      <c r="A137" s="4">
        <v>1.927972279E9</v>
      </c>
      <c r="B137" s="5">
        <v>42484.0</v>
      </c>
      <c r="C137" s="4" t="str">
        <f t="shared" si="1"/>
        <v>192797227942484</v>
      </c>
      <c r="D137" s="4">
        <v>2090.0</v>
      </c>
      <c r="E137" s="4"/>
      <c r="F137" s="13" t="str">
        <f>VLOOKUP(C137,Sleep!C:F,4,FALSE)</f>
        <v>#N/A</v>
      </c>
    </row>
    <row r="138" hidden="1">
      <c r="A138" s="4">
        <v>1.927972279E9</v>
      </c>
      <c r="B138" s="5">
        <v>42485.0</v>
      </c>
      <c r="C138" s="4" t="str">
        <f t="shared" si="1"/>
        <v>192797227942485</v>
      </c>
      <c r="D138" s="4">
        <v>152.0</v>
      </c>
      <c r="E138" s="4"/>
      <c r="F138" s="13" t="str">
        <f>VLOOKUP(C138,Sleep!C:F,4,FALSE)</f>
        <v>#N/A</v>
      </c>
    </row>
    <row r="139">
      <c r="A139" s="4">
        <v>1.927972279E9</v>
      </c>
      <c r="B139" s="5">
        <v>42486.0</v>
      </c>
      <c r="C139" s="4" t="str">
        <f t="shared" si="1"/>
        <v>192797227942486</v>
      </c>
      <c r="D139" s="4">
        <v>3761.0</v>
      </c>
      <c r="E139" s="13" t="str">
        <f>IF(D139&lt;5000, "LOW",IF(D139&lt;10000,"MEDIUM","HIGH"))</f>
        <v>LOW</v>
      </c>
      <c r="F139" s="16">
        <f>VLOOKUP(C139,Sleep!C:F,4,FALSE)</f>
        <v>0.2055555556</v>
      </c>
      <c r="G139" s="12">
        <f>VLOOKUP(C139,Sleep!C:I,7,FALSE)</f>
        <v>0.9396825397</v>
      </c>
    </row>
    <row r="140" hidden="1">
      <c r="A140" s="4">
        <v>1.927972279E9</v>
      </c>
      <c r="B140" s="5">
        <v>42487.0</v>
      </c>
      <c r="C140" s="4" t="str">
        <f t="shared" si="1"/>
        <v>192797227942487</v>
      </c>
      <c r="D140" s="4">
        <v>0.0</v>
      </c>
      <c r="E140" s="4"/>
      <c r="F140" s="13" t="str">
        <f>VLOOKUP(C140,Sleep!C:F,4,FALSE)</f>
        <v>#N/A</v>
      </c>
    </row>
    <row r="141">
      <c r="A141" s="4">
        <v>1.927972279E9</v>
      </c>
      <c r="B141" s="5">
        <v>42488.0</v>
      </c>
      <c r="C141" s="4" t="str">
        <f t="shared" si="1"/>
        <v>192797227942488</v>
      </c>
      <c r="D141" s="4">
        <v>1675.0</v>
      </c>
      <c r="E141" s="13" t="str">
        <f>IF(D141&lt;5000, "LOW",IF(D141&lt;10000,"MEDIUM","HIGH"))</f>
        <v>LOW</v>
      </c>
      <c r="F141" s="16">
        <f>VLOOKUP(C141,Sleep!C:F,4,FALSE)</f>
        <v>0.1152777778</v>
      </c>
      <c r="G141" s="12">
        <f>VLOOKUP(C141,Sleep!C:I,7,FALSE)</f>
        <v>0.9325842697</v>
      </c>
    </row>
    <row r="142" hidden="1">
      <c r="A142" s="4">
        <v>1.927972279E9</v>
      </c>
      <c r="B142" s="5">
        <v>42489.0</v>
      </c>
      <c r="C142" s="4" t="str">
        <f t="shared" si="1"/>
        <v>192797227942489</v>
      </c>
      <c r="D142" s="4">
        <v>0.0</v>
      </c>
      <c r="E142" s="4"/>
      <c r="F142" s="13" t="str">
        <f>VLOOKUP(C142,Sleep!C:F,4,FALSE)</f>
        <v>#N/A</v>
      </c>
    </row>
    <row r="143" hidden="1">
      <c r="A143" s="4">
        <v>1.927972279E9</v>
      </c>
      <c r="B143" s="5">
        <v>42490.0</v>
      </c>
      <c r="C143" s="4" t="str">
        <f t="shared" si="1"/>
        <v>192797227942490</v>
      </c>
      <c r="D143" s="4">
        <v>0.0</v>
      </c>
      <c r="E143" s="4"/>
      <c r="F143" s="13" t="str">
        <f>VLOOKUP(C143,Sleep!C:F,4,FALSE)</f>
        <v>#N/A</v>
      </c>
    </row>
    <row r="144" hidden="1">
      <c r="A144" s="4">
        <v>1.927972279E9</v>
      </c>
      <c r="B144" s="5">
        <v>42491.0</v>
      </c>
      <c r="C144" s="4" t="str">
        <f t="shared" si="1"/>
        <v>192797227942491</v>
      </c>
      <c r="D144" s="4">
        <v>2704.0</v>
      </c>
      <c r="E144" s="4"/>
      <c r="F144" s="13" t="str">
        <f>VLOOKUP(C144,Sleep!C:F,4,FALSE)</f>
        <v>#N/A</v>
      </c>
    </row>
    <row r="145" hidden="1">
      <c r="A145" s="4">
        <v>1.927972279E9</v>
      </c>
      <c r="B145" s="5">
        <v>42492.0</v>
      </c>
      <c r="C145" s="4" t="str">
        <f t="shared" si="1"/>
        <v>192797227942492</v>
      </c>
      <c r="D145" s="4">
        <v>3790.0</v>
      </c>
      <c r="E145" s="4"/>
      <c r="F145" s="13" t="str">
        <f>VLOOKUP(C145,Sleep!C:F,4,FALSE)</f>
        <v>#N/A</v>
      </c>
    </row>
    <row r="146" hidden="1">
      <c r="A146" s="4">
        <v>1.927972279E9</v>
      </c>
      <c r="B146" s="5">
        <v>42493.0</v>
      </c>
      <c r="C146" s="4" t="str">
        <f t="shared" si="1"/>
        <v>192797227942493</v>
      </c>
      <c r="D146" s="4">
        <v>1326.0</v>
      </c>
      <c r="E146" s="4"/>
      <c r="F146" s="13" t="str">
        <f>VLOOKUP(C146,Sleep!C:F,4,FALSE)</f>
        <v>#N/A</v>
      </c>
    </row>
    <row r="147" hidden="1">
      <c r="A147" s="4">
        <v>1.927972279E9</v>
      </c>
      <c r="B147" s="5">
        <v>42494.0</v>
      </c>
      <c r="C147" s="4" t="str">
        <f t="shared" si="1"/>
        <v>192797227942494</v>
      </c>
      <c r="D147" s="4">
        <v>1786.0</v>
      </c>
      <c r="E147" s="4"/>
      <c r="F147" s="13" t="str">
        <f>VLOOKUP(C147,Sleep!C:F,4,FALSE)</f>
        <v>#N/A</v>
      </c>
    </row>
    <row r="148" hidden="1">
      <c r="A148" s="4">
        <v>1.927972279E9</v>
      </c>
      <c r="B148" s="5">
        <v>42495.0</v>
      </c>
      <c r="C148" s="4" t="str">
        <f t="shared" si="1"/>
        <v>192797227942495</v>
      </c>
      <c r="D148" s="4">
        <v>0.0</v>
      </c>
      <c r="E148" s="4"/>
      <c r="F148" s="13" t="str">
        <f>VLOOKUP(C148,Sleep!C:F,4,FALSE)</f>
        <v>#N/A</v>
      </c>
    </row>
    <row r="149" hidden="1">
      <c r="A149" s="4">
        <v>1.927972279E9</v>
      </c>
      <c r="B149" s="5">
        <v>42496.0</v>
      </c>
      <c r="C149" s="4" t="str">
        <f t="shared" si="1"/>
        <v>192797227942496</v>
      </c>
      <c r="D149" s="4">
        <v>2091.0</v>
      </c>
      <c r="E149" s="4"/>
      <c r="F149" s="13" t="str">
        <f>VLOOKUP(C149,Sleep!C:F,4,FALSE)</f>
        <v>#N/A</v>
      </c>
    </row>
    <row r="150" hidden="1">
      <c r="A150" s="4">
        <v>1.927972279E9</v>
      </c>
      <c r="B150" s="5">
        <v>42497.0</v>
      </c>
      <c r="C150" s="4" t="str">
        <f t="shared" si="1"/>
        <v>192797227942497</v>
      </c>
      <c r="D150" s="4">
        <v>1510.0</v>
      </c>
      <c r="E150" s="4"/>
      <c r="F150" s="13" t="str">
        <f>VLOOKUP(C150,Sleep!C:F,4,FALSE)</f>
        <v>#N/A</v>
      </c>
    </row>
    <row r="151" hidden="1">
      <c r="A151" s="4">
        <v>1.927972279E9</v>
      </c>
      <c r="B151" s="5">
        <v>42498.0</v>
      </c>
      <c r="C151" s="4" t="str">
        <f t="shared" si="1"/>
        <v>192797227942498</v>
      </c>
      <c r="D151" s="4">
        <v>0.0</v>
      </c>
      <c r="E151" s="4"/>
      <c r="F151" s="13" t="str">
        <f>VLOOKUP(C151,Sleep!C:F,4,FALSE)</f>
        <v>#N/A</v>
      </c>
    </row>
    <row r="152" hidden="1">
      <c r="A152" s="4">
        <v>1.927972279E9</v>
      </c>
      <c r="B152" s="5">
        <v>42499.0</v>
      </c>
      <c r="C152" s="4" t="str">
        <f t="shared" si="1"/>
        <v>192797227942499</v>
      </c>
      <c r="D152" s="4">
        <v>0.0</v>
      </c>
      <c r="E152" s="4"/>
      <c r="F152" s="13" t="str">
        <f>VLOOKUP(C152,Sleep!C:F,4,FALSE)</f>
        <v>#N/A</v>
      </c>
    </row>
    <row r="153" hidden="1">
      <c r="A153" s="4">
        <v>1.927972279E9</v>
      </c>
      <c r="B153" s="5">
        <v>42500.0</v>
      </c>
      <c r="C153" s="4" t="str">
        <f t="shared" si="1"/>
        <v>192797227942500</v>
      </c>
      <c r="D153" s="4">
        <v>0.0</v>
      </c>
      <c r="E153" s="4"/>
      <c r="F153" s="13" t="str">
        <f>VLOOKUP(C153,Sleep!C:F,4,FALSE)</f>
        <v>#N/A</v>
      </c>
    </row>
    <row r="154" hidden="1">
      <c r="A154" s="4">
        <v>1.927972279E9</v>
      </c>
      <c r="B154" s="5">
        <v>42501.0</v>
      </c>
      <c r="C154" s="4" t="str">
        <f t="shared" si="1"/>
        <v>192797227942501</v>
      </c>
      <c r="D154" s="4">
        <v>0.0</v>
      </c>
      <c r="E154" s="4"/>
      <c r="F154" s="13" t="str">
        <f>VLOOKUP(C154,Sleep!C:F,4,FALSE)</f>
        <v>#N/A</v>
      </c>
    </row>
    <row r="155" hidden="1">
      <c r="A155" s="4">
        <v>1.927972279E9</v>
      </c>
      <c r="B155" s="5">
        <v>42502.0</v>
      </c>
      <c r="C155" s="4" t="str">
        <f t="shared" si="1"/>
        <v>192797227942502</v>
      </c>
      <c r="D155" s="4">
        <v>0.0</v>
      </c>
      <c r="E155" s="4"/>
      <c r="F155" s="13" t="str">
        <f>VLOOKUP(C155,Sleep!C:F,4,FALSE)</f>
        <v>#N/A</v>
      </c>
    </row>
    <row r="156" hidden="1">
      <c r="A156" s="4">
        <v>2.022484408E9</v>
      </c>
      <c r="B156" s="5">
        <v>42472.0</v>
      </c>
      <c r="C156" s="4" t="str">
        <f t="shared" si="1"/>
        <v>202248440842472</v>
      </c>
      <c r="D156" s="4">
        <v>11875.0</v>
      </c>
      <c r="E156" s="4"/>
      <c r="F156" s="13" t="str">
        <f>VLOOKUP(C156,Sleep!C:F,4,FALSE)</f>
        <v>#N/A</v>
      </c>
    </row>
    <row r="157" hidden="1">
      <c r="A157" s="4">
        <v>2.022484408E9</v>
      </c>
      <c r="B157" s="5">
        <v>42473.0</v>
      </c>
      <c r="C157" s="4" t="str">
        <f t="shared" si="1"/>
        <v>202248440842473</v>
      </c>
      <c r="D157" s="4">
        <v>12024.0</v>
      </c>
      <c r="E157" s="4"/>
      <c r="F157" s="13" t="str">
        <f>VLOOKUP(C157,Sleep!C:F,4,FALSE)</f>
        <v>#N/A</v>
      </c>
    </row>
    <row r="158" hidden="1">
      <c r="A158" s="4">
        <v>2.022484408E9</v>
      </c>
      <c r="B158" s="5">
        <v>42474.0</v>
      </c>
      <c r="C158" s="4" t="str">
        <f t="shared" si="1"/>
        <v>202248440842474</v>
      </c>
      <c r="D158" s="4">
        <v>10690.0</v>
      </c>
      <c r="E158" s="4"/>
      <c r="F158" s="13" t="str">
        <f>VLOOKUP(C158,Sleep!C:F,4,FALSE)</f>
        <v>#N/A</v>
      </c>
    </row>
    <row r="159" hidden="1">
      <c r="A159" s="4">
        <v>2.022484408E9</v>
      </c>
      <c r="B159" s="5">
        <v>42475.0</v>
      </c>
      <c r="C159" s="4" t="str">
        <f t="shared" si="1"/>
        <v>202248440842475</v>
      </c>
      <c r="D159" s="4">
        <v>11034.0</v>
      </c>
      <c r="E159" s="4"/>
      <c r="F159" s="13" t="str">
        <f>VLOOKUP(C159,Sleep!C:F,4,FALSE)</f>
        <v>#N/A</v>
      </c>
    </row>
    <row r="160" hidden="1">
      <c r="A160" s="4">
        <v>2.022484408E9</v>
      </c>
      <c r="B160" s="5">
        <v>42476.0</v>
      </c>
      <c r="C160" s="4" t="str">
        <f t="shared" si="1"/>
        <v>202248440842476</v>
      </c>
      <c r="D160" s="4">
        <v>10100.0</v>
      </c>
      <c r="E160" s="4"/>
      <c r="F160" s="13" t="str">
        <f>VLOOKUP(C160,Sleep!C:F,4,FALSE)</f>
        <v>#N/A</v>
      </c>
    </row>
    <row r="161" hidden="1">
      <c r="A161" s="4">
        <v>2.022484408E9</v>
      </c>
      <c r="B161" s="5">
        <v>42477.0</v>
      </c>
      <c r="C161" s="4" t="str">
        <f t="shared" si="1"/>
        <v>202248440842477</v>
      </c>
      <c r="D161" s="4">
        <v>15112.0</v>
      </c>
      <c r="E161" s="4"/>
      <c r="F161" s="13" t="str">
        <f>VLOOKUP(C161,Sleep!C:F,4,FALSE)</f>
        <v>#N/A</v>
      </c>
    </row>
    <row r="162" hidden="1">
      <c r="A162" s="4">
        <v>2.022484408E9</v>
      </c>
      <c r="B162" s="5">
        <v>42478.0</v>
      </c>
      <c r="C162" s="4" t="str">
        <f t="shared" si="1"/>
        <v>202248440842478</v>
      </c>
      <c r="D162" s="4">
        <v>14131.0</v>
      </c>
      <c r="E162" s="4"/>
      <c r="F162" s="13" t="str">
        <f>VLOOKUP(C162,Sleep!C:F,4,FALSE)</f>
        <v>#N/A</v>
      </c>
    </row>
    <row r="163" hidden="1">
      <c r="A163" s="4">
        <v>2.022484408E9</v>
      </c>
      <c r="B163" s="5">
        <v>42479.0</v>
      </c>
      <c r="C163" s="4" t="str">
        <f t="shared" si="1"/>
        <v>202248440842479</v>
      </c>
      <c r="D163" s="4">
        <v>11548.0</v>
      </c>
      <c r="E163" s="4"/>
      <c r="F163" s="13" t="str">
        <f>VLOOKUP(C163,Sleep!C:F,4,FALSE)</f>
        <v>#N/A</v>
      </c>
    </row>
    <row r="164" hidden="1">
      <c r="A164" s="4">
        <v>2.022484408E9</v>
      </c>
      <c r="B164" s="5">
        <v>42480.0</v>
      </c>
      <c r="C164" s="4" t="str">
        <f t="shared" si="1"/>
        <v>202248440842480</v>
      </c>
      <c r="D164" s="4">
        <v>15112.0</v>
      </c>
      <c r="E164" s="4"/>
      <c r="F164" s="13" t="str">
        <f>VLOOKUP(C164,Sleep!C:F,4,FALSE)</f>
        <v>#N/A</v>
      </c>
    </row>
    <row r="165" hidden="1">
      <c r="A165" s="4">
        <v>2.022484408E9</v>
      </c>
      <c r="B165" s="5">
        <v>42481.0</v>
      </c>
      <c r="C165" s="4" t="str">
        <f t="shared" si="1"/>
        <v>202248440842481</v>
      </c>
      <c r="D165" s="4">
        <v>12453.0</v>
      </c>
      <c r="E165" s="4"/>
      <c r="F165" s="13" t="str">
        <f>VLOOKUP(C165,Sleep!C:F,4,FALSE)</f>
        <v>#N/A</v>
      </c>
    </row>
    <row r="166" hidden="1">
      <c r="A166" s="4">
        <v>2.022484408E9</v>
      </c>
      <c r="B166" s="5">
        <v>42482.0</v>
      </c>
      <c r="C166" s="4" t="str">
        <f t="shared" si="1"/>
        <v>202248440842482</v>
      </c>
      <c r="D166" s="4">
        <v>12954.0</v>
      </c>
      <c r="E166" s="4"/>
      <c r="F166" s="13" t="str">
        <f>VLOOKUP(C166,Sleep!C:F,4,FALSE)</f>
        <v>#N/A</v>
      </c>
    </row>
    <row r="167" hidden="1">
      <c r="A167" s="4">
        <v>2.022484408E9</v>
      </c>
      <c r="B167" s="5">
        <v>42483.0</v>
      </c>
      <c r="C167" s="4" t="str">
        <f t="shared" si="1"/>
        <v>202248440842483</v>
      </c>
      <c r="D167" s="4">
        <v>6001.0</v>
      </c>
      <c r="E167" s="4"/>
      <c r="F167" s="13" t="str">
        <f>VLOOKUP(C167,Sleep!C:F,4,FALSE)</f>
        <v>#N/A</v>
      </c>
    </row>
    <row r="168" hidden="1">
      <c r="A168" s="4">
        <v>2.022484408E9</v>
      </c>
      <c r="B168" s="5">
        <v>42484.0</v>
      </c>
      <c r="C168" s="4" t="str">
        <f t="shared" si="1"/>
        <v>202248440842484</v>
      </c>
      <c r="D168" s="4">
        <v>13481.0</v>
      </c>
      <c r="E168" s="4"/>
      <c r="F168" s="13" t="str">
        <f>VLOOKUP(C168,Sleep!C:F,4,FALSE)</f>
        <v>#N/A</v>
      </c>
    </row>
    <row r="169" hidden="1">
      <c r="A169" s="4">
        <v>2.022484408E9</v>
      </c>
      <c r="B169" s="5">
        <v>42485.0</v>
      </c>
      <c r="C169" s="4" t="str">
        <f t="shared" si="1"/>
        <v>202248440842485</v>
      </c>
      <c r="D169" s="4">
        <v>11369.0</v>
      </c>
      <c r="E169" s="4"/>
      <c r="F169" s="13" t="str">
        <f>VLOOKUP(C169,Sleep!C:F,4,FALSE)</f>
        <v>#N/A</v>
      </c>
    </row>
    <row r="170" hidden="1">
      <c r="A170" s="4">
        <v>2.022484408E9</v>
      </c>
      <c r="B170" s="5">
        <v>42486.0</v>
      </c>
      <c r="C170" s="4" t="str">
        <f t="shared" si="1"/>
        <v>202248440842486</v>
      </c>
      <c r="D170" s="4">
        <v>10119.0</v>
      </c>
      <c r="E170" s="4"/>
      <c r="F170" s="13" t="str">
        <f>VLOOKUP(C170,Sleep!C:F,4,FALSE)</f>
        <v>#N/A</v>
      </c>
    </row>
    <row r="171" hidden="1">
      <c r="A171" s="4">
        <v>2.022484408E9</v>
      </c>
      <c r="B171" s="5">
        <v>42487.0</v>
      </c>
      <c r="C171" s="4" t="str">
        <f t="shared" si="1"/>
        <v>202248440842487</v>
      </c>
      <c r="D171" s="4">
        <v>10159.0</v>
      </c>
      <c r="E171" s="4"/>
      <c r="F171" s="13" t="str">
        <f>VLOOKUP(C171,Sleep!C:F,4,FALSE)</f>
        <v>#N/A</v>
      </c>
    </row>
    <row r="172" hidden="1">
      <c r="A172" s="4">
        <v>2.022484408E9</v>
      </c>
      <c r="B172" s="5">
        <v>42488.0</v>
      </c>
      <c r="C172" s="4" t="str">
        <f t="shared" si="1"/>
        <v>202248440842488</v>
      </c>
      <c r="D172" s="4">
        <v>10140.0</v>
      </c>
      <c r="E172" s="4"/>
      <c r="F172" s="13" t="str">
        <f>VLOOKUP(C172,Sleep!C:F,4,FALSE)</f>
        <v>#N/A</v>
      </c>
    </row>
    <row r="173" hidden="1">
      <c r="A173" s="4">
        <v>2.022484408E9</v>
      </c>
      <c r="B173" s="5">
        <v>42489.0</v>
      </c>
      <c r="C173" s="4" t="str">
        <f t="shared" si="1"/>
        <v>202248440842489</v>
      </c>
      <c r="D173" s="4">
        <v>10245.0</v>
      </c>
      <c r="E173" s="4"/>
      <c r="F173" s="13" t="str">
        <f>VLOOKUP(C173,Sleep!C:F,4,FALSE)</f>
        <v>#N/A</v>
      </c>
    </row>
    <row r="174" hidden="1">
      <c r="A174" s="4">
        <v>2.022484408E9</v>
      </c>
      <c r="B174" s="5">
        <v>42490.0</v>
      </c>
      <c r="C174" s="4" t="str">
        <f t="shared" si="1"/>
        <v>202248440842490</v>
      </c>
      <c r="D174" s="4">
        <v>18387.0</v>
      </c>
      <c r="E174" s="4"/>
      <c r="F174" s="13" t="str">
        <f>VLOOKUP(C174,Sleep!C:F,4,FALSE)</f>
        <v>#N/A</v>
      </c>
    </row>
    <row r="175" hidden="1">
      <c r="A175" s="4">
        <v>2.022484408E9</v>
      </c>
      <c r="B175" s="5">
        <v>42491.0</v>
      </c>
      <c r="C175" s="4" t="str">
        <f t="shared" si="1"/>
        <v>202248440842491</v>
      </c>
      <c r="D175" s="4">
        <v>10538.0</v>
      </c>
      <c r="E175" s="4"/>
      <c r="F175" s="13" t="str">
        <f>VLOOKUP(C175,Sleep!C:F,4,FALSE)</f>
        <v>#N/A</v>
      </c>
    </row>
    <row r="176" hidden="1">
      <c r="A176" s="4">
        <v>2.022484408E9</v>
      </c>
      <c r="B176" s="5">
        <v>42492.0</v>
      </c>
      <c r="C176" s="4" t="str">
        <f t="shared" si="1"/>
        <v>202248440842492</v>
      </c>
      <c r="D176" s="4">
        <v>10379.0</v>
      </c>
      <c r="E176" s="4"/>
      <c r="F176" s="13" t="str">
        <f>VLOOKUP(C176,Sleep!C:F,4,FALSE)</f>
        <v>#N/A</v>
      </c>
    </row>
    <row r="177" hidden="1">
      <c r="A177" s="4">
        <v>2.022484408E9</v>
      </c>
      <c r="B177" s="5">
        <v>42493.0</v>
      </c>
      <c r="C177" s="4" t="str">
        <f t="shared" si="1"/>
        <v>202248440842493</v>
      </c>
      <c r="D177" s="4">
        <v>12183.0</v>
      </c>
      <c r="E177" s="4"/>
      <c r="F177" s="13" t="str">
        <f>VLOOKUP(C177,Sleep!C:F,4,FALSE)</f>
        <v>#N/A</v>
      </c>
    </row>
    <row r="178" hidden="1">
      <c r="A178" s="4">
        <v>2.022484408E9</v>
      </c>
      <c r="B178" s="5">
        <v>42494.0</v>
      </c>
      <c r="C178" s="4" t="str">
        <f t="shared" si="1"/>
        <v>202248440842494</v>
      </c>
      <c r="D178" s="4">
        <v>11768.0</v>
      </c>
      <c r="E178" s="4"/>
      <c r="F178" s="13" t="str">
        <f>VLOOKUP(C178,Sleep!C:F,4,FALSE)</f>
        <v>#N/A</v>
      </c>
    </row>
    <row r="179" hidden="1">
      <c r="A179" s="4">
        <v>2.022484408E9</v>
      </c>
      <c r="B179" s="5">
        <v>42495.0</v>
      </c>
      <c r="C179" s="4" t="str">
        <f t="shared" si="1"/>
        <v>202248440842495</v>
      </c>
      <c r="D179" s="4">
        <v>11895.0</v>
      </c>
      <c r="E179" s="4"/>
      <c r="F179" s="13" t="str">
        <f>VLOOKUP(C179,Sleep!C:F,4,FALSE)</f>
        <v>#N/A</v>
      </c>
    </row>
    <row r="180" hidden="1">
      <c r="A180" s="4">
        <v>2.022484408E9</v>
      </c>
      <c r="B180" s="5">
        <v>42496.0</v>
      </c>
      <c r="C180" s="4" t="str">
        <f t="shared" si="1"/>
        <v>202248440842496</v>
      </c>
      <c r="D180" s="4">
        <v>10227.0</v>
      </c>
      <c r="E180" s="4"/>
      <c r="F180" s="13" t="str">
        <f>VLOOKUP(C180,Sleep!C:F,4,FALSE)</f>
        <v>#N/A</v>
      </c>
    </row>
    <row r="181" hidden="1">
      <c r="A181" s="4">
        <v>2.022484408E9</v>
      </c>
      <c r="B181" s="5">
        <v>42497.0</v>
      </c>
      <c r="C181" s="4" t="str">
        <f t="shared" si="1"/>
        <v>202248440842497</v>
      </c>
      <c r="D181" s="4">
        <v>6708.0</v>
      </c>
      <c r="E181" s="4"/>
      <c r="F181" s="13" t="str">
        <f>VLOOKUP(C181,Sleep!C:F,4,FALSE)</f>
        <v>#N/A</v>
      </c>
    </row>
    <row r="182" hidden="1">
      <c r="A182" s="4">
        <v>2.022484408E9</v>
      </c>
      <c r="B182" s="5">
        <v>42498.0</v>
      </c>
      <c r="C182" s="4" t="str">
        <f t="shared" si="1"/>
        <v>202248440842498</v>
      </c>
      <c r="D182" s="4">
        <v>3292.0</v>
      </c>
      <c r="E182" s="4"/>
      <c r="F182" s="13" t="str">
        <f>VLOOKUP(C182,Sleep!C:F,4,FALSE)</f>
        <v>#N/A</v>
      </c>
    </row>
    <row r="183" hidden="1">
      <c r="A183" s="4">
        <v>2.022484408E9</v>
      </c>
      <c r="B183" s="5">
        <v>42499.0</v>
      </c>
      <c r="C183" s="4" t="str">
        <f t="shared" si="1"/>
        <v>202248440842499</v>
      </c>
      <c r="D183" s="4">
        <v>13379.0</v>
      </c>
      <c r="E183" s="4"/>
      <c r="F183" s="13" t="str">
        <f>VLOOKUP(C183,Sleep!C:F,4,FALSE)</f>
        <v>#N/A</v>
      </c>
    </row>
    <row r="184" hidden="1">
      <c r="A184" s="4">
        <v>2.022484408E9</v>
      </c>
      <c r="B184" s="5">
        <v>42500.0</v>
      </c>
      <c r="C184" s="4" t="str">
        <f t="shared" si="1"/>
        <v>202248440842500</v>
      </c>
      <c r="D184" s="4">
        <v>12798.0</v>
      </c>
      <c r="E184" s="4"/>
      <c r="F184" s="13" t="str">
        <f>VLOOKUP(C184,Sleep!C:F,4,FALSE)</f>
        <v>#N/A</v>
      </c>
    </row>
    <row r="185" hidden="1">
      <c r="A185" s="4">
        <v>2.022484408E9</v>
      </c>
      <c r="B185" s="5">
        <v>42501.0</v>
      </c>
      <c r="C185" s="4" t="str">
        <f t="shared" si="1"/>
        <v>202248440842501</v>
      </c>
      <c r="D185" s="4">
        <v>13272.0</v>
      </c>
      <c r="E185" s="4"/>
      <c r="F185" s="13" t="str">
        <f>VLOOKUP(C185,Sleep!C:F,4,FALSE)</f>
        <v>#N/A</v>
      </c>
    </row>
    <row r="186" hidden="1">
      <c r="A186" s="4">
        <v>2.022484408E9</v>
      </c>
      <c r="B186" s="5">
        <v>42502.0</v>
      </c>
      <c r="C186" s="4" t="str">
        <f t="shared" si="1"/>
        <v>202248440842502</v>
      </c>
      <c r="D186" s="4">
        <v>9117.0</v>
      </c>
      <c r="E186" s="4"/>
      <c r="F186" s="13" t="str">
        <f>VLOOKUP(C186,Sleep!C:F,4,FALSE)</f>
        <v>#N/A</v>
      </c>
    </row>
    <row r="187">
      <c r="A187" s="4">
        <v>2.026352035E9</v>
      </c>
      <c r="B187" s="5">
        <v>42472.0</v>
      </c>
      <c r="C187" s="4" t="str">
        <f t="shared" si="1"/>
        <v>202635203542472</v>
      </c>
      <c r="D187" s="4">
        <v>4414.0</v>
      </c>
      <c r="E187" s="13" t="str">
        <f t="shared" ref="E187:E192" si="11">IF(D187&lt;5000, "LOW",IF(D187&lt;10000,"MEDIUM","HIGH"))</f>
        <v>LOW</v>
      </c>
      <c r="F187" s="16">
        <f>VLOOKUP(C187,Sleep!C:F,4,FALSE)</f>
        <v>0.3493055556</v>
      </c>
      <c r="G187" s="12">
        <f>VLOOKUP(C187,Sleep!C:I,7,FALSE)</f>
        <v>0.9212454212</v>
      </c>
    </row>
    <row r="188">
      <c r="A188" s="4">
        <v>2.026352035E9</v>
      </c>
      <c r="B188" s="5">
        <v>42473.0</v>
      </c>
      <c r="C188" s="4" t="str">
        <f t="shared" si="1"/>
        <v>202635203542473</v>
      </c>
      <c r="D188" s="4">
        <v>4993.0</v>
      </c>
      <c r="E188" s="13" t="str">
        <f t="shared" si="11"/>
        <v>LOW</v>
      </c>
      <c r="F188" s="16">
        <f>VLOOKUP(C188,Sleep!C:F,4,FALSE)</f>
        <v>0.36875</v>
      </c>
      <c r="G188" s="12">
        <f>VLOOKUP(C188,Sleep!C:I,7,FALSE)</f>
        <v>0.9398230088</v>
      </c>
    </row>
    <row r="189">
      <c r="A189" s="4">
        <v>2.026352035E9</v>
      </c>
      <c r="B189" s="5">
        <v>42474.0</v>
      </c>
      <c r="C189" s="4" t="str">
        <f t="shared" si="1"/>
        <v>202635203542474</v>
      </c>
      <c r="D189" s="4">
        <v>3335.0</v>
      </c>
      <c r="E189" s="13" t="str">
        <f t="shared" si="11"/>
        <v>LOW</v>
      </c>
      <c r="F189" s="16">
        <f>VLOOKUP(C189,Sleep!C:F,4,FALSE)</f>
        <v>0.3784722222</v>
      </c>
      <c r="G189" s="12">
        <f>VLOOKUP(C189,Sleep!C:I,7,FALSE)</f>
        <v>0.9595070423</v>
      </c>
    </row>
    <row r="190">
      <c r="A190" s="4">
        <v>2.026352035E9</v>
      </c>
      <c r="B190" s="5">
        <v>42475.0</v>
      </c>
      <c r="C190" s="4" t="str">
        <f t="shared" si="1"/>
        <v>202635203542475</v>
      </c>
      <c r="D190" s="4">
        <v>3821.0</v>
      </c>
      <c r="E190" s="13" t="str">
        <f t="shared" si="11"/>
        <v>LOW</v>
      </c>
      <c r="F190" s="16">
        <f>VLOOKUP(C190,Sleep!C:F,4,FALSE)</f>
        <v>0.3631944444</v>
      </c>
      <c r="G190" s="12">
        <f>VLOOKUP(C190,Sleep!C:I,7,FALSE)</f>
        <v>0.9127399651</v>
      </c>
    </row>
    <row r="191">
      <c r="A191" s="4">
        <v>2.026352035E9</v>
      </c>
      <c r="B191" s="5">
        <v>42476.0</v>
      </c>
      <c r="C191" s="4" t="str">
        <f t="shared" si="1"/>
        <v>202635203542476</v>
      </c>
      <c r="D191" s="4">
        <v>2547.0</v>
      </c>
      <c r="E191" s="13" t="str">
        <f t="shared" si="11"/>
        <v>LOW</v>
      </c>
      <c r="F191" s="16">
        <f>VLOOKUP(C191,Sleep!C:F,4,FALSE)</f>
        <v>0.3638888889</v>
      </c>
      <c r="G191" s="12">
        <f>VLOOKUP(C191,Sleep!C:I,7,FALSE)</f>
        <v>0.9241622575</v>
      </c>
    </row>
    <row r="192">
      <c r="A192" s="4">
        <v>2.026352035E9</v>
      </c>
      <c r="B192" s="5">
        <v>42477.0</v>
      </c>
      <c r="C192" s="4" t="str">
        <f t="shared" si="1"/>
        <v>202635203542477</v>
      </c>
      <c r="D192" s="4">
        <v>838.0</v>
      </c>
      <c r="E192" s="13" t="str">
        <f t="shared" si="11"/>
        <v>LOW</v>
      </c>
      <c r="F192" s="16">
        <f>VLOOKUP(C192,Sleep!C:F,4,FALSE)</f>
        <v>0.3034722222</v>
      </c>
      <c r="G192" s="12">
        <f>VLOOKUP(C192,Sleep!C:I,7,FALSE)</f>
        <v>0.8775100402</v>
      </c>
    </row>
    <row r="193" hidden="1">
      <c r="A193" s="4">
        <v>2.026352035E9</v>
      </c>
      <c r="B193" s="5">
        <v>42478.0</v>
      </c>
      <c r="C193" s="4" t="str">
        <f t="shared" si="1"/>
        <v>202635203542478</v>
      </c>
      <c r="D193" s="4">
        <v>3325.0</v>
      </c>
      <c r="E193" s="4"/>
      <c r="F193" s="13" t="str">
        <f>VLOOKUP(C193,Sleep!C:F,4,FALSE)</f>
        <v>#N/A</v>
      </c>
    </row>
    <row r="194">
      <c r="A194" s="4">
        <v>2.026352035E9</v>
      </c>
      <c r="B194" s="5">
        <v>42479.0</v>
      </c>
      <c r="C194" s="4" t="str">
        <f t="shared" si="1"/>
        <v>202635203542479</v>
      </c>
      <c r="D194" s="4">
        <v>2424.0</v>
      </c>
      <c r="E194" s="13" t="str">
        <f t="shared" ref="E194:E200" si="12">IF(D194&lt;5000, "LOW",IF(D194&lt;10000,"MEDIUM","HIGH"))</f>
        <v>LOW</v>
      </c>
      <c r="F194" s="16">
        <f>VLOOKUP(C194,Sleep!C:F,4,FALSE)</f>
        <v>0.3458333333</v>
      </c>
      <c r="G194" s="12">
        <f>VLOOKUP(C194,Sleep!C:I,7,FALSE)</f>
        <v>0.9222222222</v>
      </c>
    </row>
    <row r="195">
      <c r="A195" s="4">
        <v>2.026352035E9</v>
      </c>
      <c r="B195" s="5">
        <v>42480.0</v>
      </c>
      <c r="C195" s="4" t="str">
        <f t="shared" si="1"/>
        <v>202635203542480</v>
      </c>
      <c r="D195" s="4">
        <v>7222.0</v>
      </c>
      <c r="E195" s="13" t="str">
        <f t="shared" si="12"/>
        <v>MEDIUM</v>
      </c>
      <c r="F195" s="16">
        <f>VLOOKUP(C195,Sleep!C:F,4,FALSE)</f>
        <v>0.3201388889</v>
      </c>
      <c r="G195" s="12">
        <f>VLOOKUP(C195,Sleep!C:I,7,FALSE)</f>
        <v>0.9039215686</v>
      </c>
    </row>
    <row r="196">
      <c r="A196" s="4">
        <v>2.026352035E9</v>
      </c>
      <c r="B196" s="5">
        <v>42481.0</v>
      </c>
      <c r="C196" s="4" t="str">
        <f t="shared" si="1"/>
        <v>202635203542481</v>
      </c>
      <c r="D196" s="4">
        <v>2467.0</v>
      </c>
      <c r="E196" s="13" t="str">
        <f t="shared" si="12"/>
        <v>LOW</v>
      </c>
      <c r="F196" s="16">
        <f>VLOOKUP(C196,Sleep!C:F,4,FALSE)</f>
        <v>0.33125</v>
      </c>
      <c r="G196" s="12">
        <f>VLOOKUP(C196,Sleep!C:I,7,FALSE)</f>
        <v>0.9280155642</v>
      </c>
    </row>
    <row r="197">
      <c r="A197" s="4">
        <v>2.026352035E9</v>
      </c>
      <c r="B197" s="5">
        <v>42482.0</v>
      </c>
      <c r="C197" s="4" t="str">
        <f t="shared" si="1"/>
        <v>202635203542482</v>
      </c>
      <c r="D197" s="4">
        <v>2915.0</v>
      </c>
      <c r="E197" s="13" t="str">
        <f t="shared" si="12"/>
        <v>LOW</v>
      </c>
      <c r="F197" s="16">
        <f>VLOOKUP(C197,Sleep!C:F,4,FALSE)</f>
        <v>0.3611111111</v>
      </c>
      <c r="G197" s="12">
        <f>VLOOKUP(C197,Sleep!C:I,7,FALSE)</f>
        <v>0.9541284404</v>
      </c>
    </row>
    <row r="198">
      <c r="A198" s="4">
        <v>2.026352035E9</v>
      </c>
      <c r="B198" s="5">
        <v>42483.0</v>
      </c>
      <c r="C198" s="4" t="str">
        <f t="shared" si="1"/>
        <v>202635203542483</v>
      </c>
      <c r="D198" s="4">
        <v>12357.0</v>
      </c>
      <c r="E198" s="13" t="str">
        <f t="shared" si="12"/>
        <v>HIGH</v>
      </c>
      <c r="F198" s="16">
        <f>VLOOKUP(C198,Sleep!C:F,4,FALSE)</f>
        <v>0.3625</v>
      </c>
      <c r="G198" s="12">
        <f>VLOOKUP(C198,Sleep!C:I,7,FALSE)</f>
        <v>0.9422382671</v>
      </c>
    </row>
    <row r="199">
      <c r="A199" s="4">
        <v>2.026352035E9</v>
      </c>
      <c r="B199" s="5">
        <v>42484.0</v>
      </c>
      <c r="C199" s="4" t="str">
        <f t="shared" si="1"/>
        <v>202635203542484</v>
      </c>
      <c r="D199" s="4">
        <v>3490.0</v>
      </c>
      <c r="E199" s="13" t="str">
        <f t="shared" si="12"/>
        <v>LOW</v>
      </c>
      <c r="F199" s="16">
        <f>VLOOKUP(C199,Sleep!C:F,4,FALSE)</f>
        <v>0.3854166667</v>
      </c>
      <c r="G199" s="12">
        <f>VLOOKUP(C199,Sleep!C:I,7,FALSE)</f>
        <v>0.9390862944</v>
      </c>
    </row>
    <row r="200">
      <c r="A200" s="4">
        <v>2.026352035E9</v>
      </c>
      <c r="B200" s="5">
        <v>42485.0</v>
      </c>
      <c r="C200" s="4" t="str">
        <f t="shared" si="1"/>
        <v>202635203542485</v>
      </c>
      <c r="D200" s="4">
        <v>6017.0</v>
      </c>
      <c r="E200" s="13" t="str">
        <f t="shared" si="12"/>
        <v>MEDIUM</v>
      </c>
      <c r="F200" s="16">
        <f>VLOOKUP(C200,Sleep!C:F,4,FALSE)</f>
        <v>0.3513888889</v>
      </c>
      <c r="G200" s="12">
        <f>VLOOKUP(C200,Sleep!C:I,7,FALSE)</f>
        <v>0.9529190207</v>
      </c>
    </row>
    <row r="201" hidden="1">
      <c r="A201" s="4">
        <v>2.026352035E9</v>
      </c>
      <c r="B201" s="5">
        <v>42486.0</v>
      </c>
      <c r="C201" s="4" t="str">
        <f t="shared" si="1"/>
        <v>202635203542486</v>
      </c>
      <c r="D201" s="4">
        <v>5933.0</v>
      </c>
      <c r="E201" s="4"/>
      <c r="F201" s="13" t="str">
        <f>VLOOKUP(C201,Sleep!C:F,4,FALSE)</f>
        <v>#N/A</v>
      </c>
    </row>
    <row r="202">
      <c r="A202" s="4">
        <v>2.026352035E9</v>
      </c>
      <c r="B202" s="5">
        <v>42487.0</v>
      </c>
      <c r="C202" s="4" t="str">
        <f t="shared" si="1"/>
        <v>202635203542487</v>
      </c>
      <c r="D202" s="4">
        <v>6088.0</v>
      </c>
      <c r="E202" s="13" t="str">
        <f t="shared" ref="E202:E207" si="13">IF(D202&lt;5000, "LOW",IF(D202&lt;10000,"MEDIUM","HIGH"))</f>
        <v>MEDIUM</v>
      </c>
      <c r="F202" s="16">
        <f>VLOOKUP(C202,Sleep!C:F,4,FALSE)</f>
        <v>0.3527777778</v>
      </c>
      <c r="G202" s="12">
        <f>VLOOKUP(C202,Sleep!C:I,7,FALSE)</f>
        <v>0.9321100917</v>
      </c>
    </row>
    <row r="203">
      <c r="A203" s="4">
        <v>2.026352035E9</v>
      </c>
      <c r="B203" s="5">
        <v>42488.0</v>
      </c>
      <c r="C203" s="4" t="str">
        <f t="shared" si="1"/>
        <v>202635203542488</v>
      </c>
      <c r="D203" s="4">
        <v>6375.0</v>
      </c>
      <c r="E203" s="13" t="str">
        <f t="shared" si="13"/>
        <v>MEDIUM</v>
      </c>
      <c r="F203" s="16">
        <f>VLOOKUP(C203,Sleep!C:F,4,FALSE)</f>
        <v>0.35625</v>
      </c>
      <c r="G203" s="12">
        <f>VLOOKUP(C203,Sleep!C:I,7,FALSE)</f>
        <v>0.9412844037</v>
      </c>
    </row>
    <row r="204">
      <c r="A204" s="4">
        <v>2.026352035E9</v>
      </c>
      <c r="B204" s="5">
        <v>42489.0</v>
      </c>
      <c r="C204" s="4" t="str">
        <f t="shared" si="1"/>
        <v>202635203542489</v>
      </c>
      <c r="D204" s="4">
        <v>7604.0</v>
      </c>
      <c r="E204" s="13" t="str">
        <f t="shared" si="13"/>
        <v>MEDIUM</v>
      </c>
      <c r="F204" s="16">
        <f>VLOOKUP(C204,Sleep!C:F,4,FALSE)</f>
        <v>0.3402777778</v>
      </c>
      <c r="G204" s="12">
        <f>VLOOKUP(C204,Sleep!C:I,7,FALSE)</f>
        <v>0.9607843137</v>
      </c>
    </row>
    <row r="205">
      <c r="A205" s="4">
        <v>2.026352035E9</v>
      </c>
      <c r="B205" s="5">
        <v>42490.0</v>
      </c>
      <c r="C205" s="4" t="str">
        <f t="shared" si="1"/>
        <v>202635203542490</v>
      </c>
      <c r="D205" s="4">
        <v>4729.0</v>
      </c>
      <c r="E205" s="13" t="str">
        <f t="shared" si="13"/>
        <v>LOW</v>
      </c>
      <c r="F205" s="16">
        <f>VLOOKUP(C205,Sleep!C:F,4,FALSE)</f>
        <v>0.3979166667</v>
      </c>
      <c r="G205" s="12">
        <f>VLOOKUP(C205,Sleep!C:I,7,FALSE)</f>
        <v>0.9439868204</v>
      </c>
    </row>
    <row r="206">
      <c r="A206" s="4">
        <v>2.026352035E9</v>
      </c>
      <c r="B206" s="5">
        <v>42491.0</v>
      </c>
      <c r="C206" s="4" t="str">
        <f t="shared" si="1"/>
        <v>202635203542491</v>
      </c>
      <c r="D206" s="4">
        <v>3609.0</v>
      </c>
      <c r="E206" s="13" t="str">
        <f t="shared" si="13"/>
        <v>LOW</v>
      </c>
      <c r="F206" s="16">
        <f>VLOOKUP(C206,Sleep!C:F,4,FALSE)</f>
        <v>0.3659722222</v>
      </c>
      <c r="G206" s="12">
        <f>VLOOKUP(C206,Sleep!C:I,7,FALSE)</f>
        <v>0.9652014652</v>
      </c>
    </row>
    <row r="207">
      <c r="A207" s="4">
        <v>2.026352035E9</v>
      </c>
      <c r="B207" s="5">
        <v>42492.0</v>
      </c>
      <c r="C207" s="4" t="str">
        <f t="shared" si="1"/>
        <v>202635203542492</v>
      </c>
      <c r="D207" s="4">
        <v>7018.0</v>
      </c>
      <c r="E207" s="13" t="str">
        <f t="shared" si="13"/>
        <v>MEDIUM</v>
      </c>
      <c r="F207" s="16">
        <f>VLOOKUP(C207,Sleep!C:F,4,FALSE)</f>
        <v>0.3548611111</v>
      </c>
      <c r="G207" s="12">
        <f>VLOOKUP(C207,Sleep!C:I,7,FALSE)</f>
        <v>0.94106814</v>
      </c>
    </row>
    <row r="208" hidden="1">
      <c r="A208" s="4">
        <v>2.026352035E9</v>
      </c>
      <c r="B208" s="5">
        <v>42493.0</v>
      </c>
      <c r="C208" s="4" t="str">
        <f t="shared" si="1"/>
        <v>202635203542493</v>
      </c>
      <c r="D208" s="4">
        <v>5992.0</v>
      </c>
      <c r="E208" s="4"/>
      <c r="F208" s="13" t="str">
        <f>VLOOKUP(C208,Sleep!C:F,4,FALSE)</f>
        <v>#N/A</v>
      </c>
    </row>
    <row r="209">
      <c r="A209" s="4">
        <v>2.026352035E9</v>
      </c>
      <c r="B209" s="5">
        <v>42494.0</v>
      </c>
      <c r="C209" s="4" t="str">
        <f t="shared" si="1"/>
        <v>202635203542494</v>
      </c>
      <c r="D209" s="4">
        <v>6564.0</v>
      </c>
      <c r="E209" s="13" t="str">
        <f t="shared" ref="E209:E217" si="14">IF(D209&lt;5000, "LOW",IF(D209&lt;10000,"MEDIUM","HIGH"))</f>
        <v>MEDIUM</v>
      </c>
      <c r="F209" s="16">
        <f>VLOOKUP(C209,Sleep!C:F,4,FALSE)</f>
        <v>0.3736111111</v>
      </c>
      <c r="G209" s="12">
        <f>VLOOKUP(C209,Sleep!C:I,7,FALSE)</f>
        <v>0.9607142857</v>
      </c>
    </row>
    <row r="210">
      <c r="A210" s="4">
        <v>2.026352035E9</v>
      </c>
      <c r="B210" s="5">
        <v>42495.0</v>
      </c>
      <c r="C210" s="4" t="str">
        <f t="shared" si="1"/>
        <v>202635203542495</v>
      </c>
      <c r="D210" s="4">
        <v>12167.0</v>
      </c>
      <c r="E210" s="13" t="str">
        <f t="shared" si="14"/>
        <v>HIGH</v>
      </c>
      <c r="F210" s="16">
        <f>VLOOKUP(C210,Sleep!C:F,4,FALSE)</f>
        <v>0.325</v>
      </c>
      <c r="G210" s="12">
        <f>VLOOKUP(C210,Sleep!C:I,7,FALSE)</f>
        <v>0.9649484536</v>
      </c>
    </row>
    <row r="211">
      <c r="A211" s="4">
        <v>2.026352035E9</v>
      </c>
      <c r="B211" s="5">
        <v>42496.0</v>
      </c>
      <c r="C211" s="4" t="str">
        <f t="shared" si="1"/>
        <v>202635203542496</v>
      </c>
      <c r="D211" s="4">
        <v>8198.0</v>
      </c>
      <c r="E211" s="13" t="str">
        <f t="shared" si="14"/>
        <v>MEDIUM</v>
      </c>
      <c r="F211" s="16">
        <f>VLOOKUP(C211,Sleep!C:F,4,FALSE)</f>
        <v>0.3638888889</v>
      </c>
      <c r="G211" s="12">
        <f>VLOOKUP(C211,Sleep!C:I,7,FALSE)</f>
        <v>0.9562043796</v>
      </c>
    </row>
    <row r="212">
      <c r="A212" s="4">
        <v>2.026352035E9</v>
      </c>
      <c r="B212" s="5">
        <v>42497.0</v>
      </c>
      <c r="C212" s="4" t="str">
        <f t="shared" si="1"/>
        <v>202635203542497</v>
      </c>
      <c r="D212" s="4">
        <v>4193.0</v>
      </c>
      <c r="E212" s="13" t="str">
        <f t="shared" si="14"/>
        <v>LOW</v>
      </c>
      <c r="F212" s="16">
        <f>VLOOKUP(C212,Sleep!C:F,4,FALSE)</f>
        <v>0.3548611111</v>
      </c>
      <c r="G212" s="12">
        <f>VLOOKUP(C212,Sleep!C:I,7,FALSE)</f>
        <v>0.980806142</v>
      </c>
    </row>
    <row r="213">
      <c r="A213" s="4">
        <v>2.026352035E9</v>
      </c>
      <c r="B213" s="5">
        <v>42498.0</v>
      </c>
      <c r="C213" s="4" t="str">
        <f t="shared" si="1"/>
        <v>202635203542498</v>
      </c>
      <c r="D213" s="4">
        <v>5528.0</v>
      </c>
      <c r="E213" s="13" t="str">
        <f t="shared" si="14"/>
        <v>MEDIUM</v>
      </c>
      <c r="F213" s="16">
        <f>VLOOKUP(C213,Sleep!C:F,4,FALSE)</f>
        <v>0.3756944444</v>
      </c>
      <c r="G213" s="12">
        <f>VLOOKUP(C213,Sleep!C:I,7,FALSE)</f>
        <v>0.9524647887</v>
      </c>
    </row>
    <row r="214">
      <c r="A214" s="4">
        <v>2.026352035E9</v>
      </c>
      <c r="B214" s="5">
        <v>42499.0</v>
      </c>
      <c r="C214" s="4" t="str">
        <f t="shared" si="1"/>
        <v>202635203542499</v>
      </c>
      <c r="D214" s="4">
        <v>10685.0</v>
      </c>
      <c r="E214" s="13" t="str">
        <f t="shared" si="14"/>
        <v>HIGH</v>
      </c>
      <c r="F214" s="16">
        <f>VLOOKUP(C214,Sleep!C:F,4,FALSE)</f>
        <v>0.36875</v>
      </c>
      <c r="G214" s="12">
        <f>VLOOKUP(C214,Sleep!C:I,7,FALSE)</f>
        <v>0.9550359712</v>
      </c>
    </row>
    <row r="215">
      <c r="A215" s="4">
        <v>2.026352035E9</v>
      </c>
      <c r="B215" s="5">
        <v>42500.0</v>
      </c>
      <c r="C215" s="4" t="str">
        <f t="shared" si="1"/>
        <v>202635203542500</v>
      </c>
      <c r="D215" s="4">
        <v>254.0</v>
      </c>
      <c r="E215" s="13" t="str">
        <f t="shared" si="14"/>
        <v>LOW</v>
      </c>
      <c r="F215" s="16">
        <f>VLOOKUP(C215,Sleep!C:F,4,FALSE)</f>
        <v>0.2479166667</v>
      </c>
      <c r="G215" s="12">
        <f>VLOOKUP(C215,Sleep!C:I,7,FALSE)</f>
        <v>0.9394736842</v>
      </c>
    </row>
    <row r="216">
      <c r="A216" s="4">
        <v>2.026352035E9</v>
      </c>
      <c r="B216" s="5">
        <v>42501.0</v>
      </c>
      <c r="C216" s="4" t="str">
        <f t="shared" si="1"/>
        <v>202635203542501</v>
      </c>
      <c r="D216" s="4">
        <v>8580.0</v>
      </c>
      <c r="E216" s="13" t="str">
        <f t="shared" si="14"/>
        <v>MEDIUM</v>
      </c>
      <c r="F216" s="16">
        <f>VLOOKUP(C216,Sleep!C:F,4,FALSE)</f>
        <v>0.3631944444</v>
      </c>
      <c r="G216" s="12">
        <f>VLOOKUP(C216,Sleep!C:I,7,FALSE)</f>
        <v>0.9457504521</v>
      </c>
    </row>
    <row r="217">
      <c r="A217" s="4">
        <v>2.026352035E9</v>
      </c>
      <c r="B217" s="5">
        <v>42502.0</v>
      </c>
      <c r="C217" s="4" t="str">
        <f t="shared" si="1"/>
        <v>202635203542502</v>
      </c>
      <c r="D217" s="4">
        <v>8891.0</v>
      </c>
      <c r="E217" s="13" t="str">
        <f t="shared" si="14"/>
        <v>MEDIUM</v>
      </c>
      <c r="F217" s="16">
        <f>VLOOKUP(C217,Sleep!C:F,4,FALSE)</f>
        <v>0.3166666667</v>
      </c>
      <c r="G217" s="12">
        <f>VLOOKUP(C217,Sleep!C:I,7,FALSE)</f>
        <v>0.9402061856</v>
      </c>
    </row>
    <row r="218" hidden="1">
      <c r="A218" s="4">
        <v>2.320127002E9</v>
      </c>
      <c r="B218" s="5">
        <v>42472.0</v>
      </c>
      <c r="C218" s="4" t="str">
        <f t="shared" si="1"/>
        <v>232012700242472</v>
      </c>
      <c r="D218" s="4">
        <v>10725.0</v>
      </c>
      <c r="E218" s="4"/>
      <c r="F218" s="13" t="str">
        <f>VLOOKUP(C218,Sleep!C:F,4,FALSE)</f>
        <v>#N/A</v>
      </c>
    </row>
    <row r="219" hidden="1">
      <c r="A219" s="4">
        <v>2.320127002E9</v>
      </c>
      <c r="B219" s="5">
        <v>42473.0</v>
      </c>
      <c r="C219" s="4" t="str">
        <f t="shared" si="1"/>
        <v>232012700242473</v>
      </c>
      <c r="D219" s="4">
        <v>7275.0</v>
      </c>
      <c r="E219" s="4"/>
      <c r="F219" s="13" t="str">
        <f>VLOOKUP(C219,Sleep!C:F,4,FALSE)</f>
        <v>#N/A</v>
      </c>
    </row>
    <row r="220" hidden="1">
      <c r="A220" s="4">
        <v>2.320127002E9</v>
      </c>
      <c r="B220" s="5">
        <v>42474.0</v>
      </c>
      <c r="C220" s="4" t="str">
        <f t="shared" si="1"/>
        <v>232012700242474</v>
      </c>
      <c r="D220" s="4">
        <v>3973.0</v>
      </c>
      <c r="E220" s="4"/>
      <c r="F220" s="13" t="str">
        <f>VLOOKUP(C220,Sleep!C:F,4,FALSE)</f>
        <v>#N/A</v>
      </c>
    </row>
    <row r="221" hidden="1">
      <c r="A221" s="4">
        <v>2.320127002E9</v>
      </c>
      <c r="B221" s="5">
        <v>42475.0</v>
      </c>
      <c r="C221" s="4" t="str">
        <f t="shared" si="1"/>
        <v>232012700242475</v>
      </c>
      <c r="D221" s="4">
        <v>5205.0</v>
      </c>
      <c r="E221" s="4"/>
      <c r="F221" s="13" t="str">
        <f>VLOOKUP(C221,Sleep!C:F,4,FALSE)</f>
        <v>#N/A</v>
      </c>
    </row>
    <row r="222" hidden="1">
      <c r="A222" s="4">
        <v>2.320127002E9</v>
      </c>
      <c r="B222" s="5">
        <v>42476.0</v>
      </c>
      <c r="C222" s="4" t="str">
        <f t="shared" si="1"/>
        <v>232012700242476</v>
      </c>
      <c r="D222" s="4">
        <v>5057.0</v>
      </c>
      <c r="E222" s="4"/>
      <c r="F222" s="13" t="str">
        <f>VLOOKUP(C222,Sleep!C:F,4,FALSE)</f>
        <v>#N/A</v>
      </c>
    </row>
    <row r="223" hidden="1">
      <c r="A223" s="4">
        <v>2.320127002E9</v>
      </c>
      <c r="B223" s="5">
        <v>42477.0</v>
      </c>
      <c r="C223" s="4" t="str">
        <f t="shared" si="1"/>
        <v>232012700242477</v>
      </c>
      <c r="D223" s="4">
        <v>6198.0</v>
      </c>
      <c r="E223" s="4"/>
      <c r="F223" s="13" t="str">
        <f>VLOOKUP(C223,Sleep!C:F,4,FALSE)</f>
        <v>#N/A</v>
      </c>
    </row>
    <row r="224" hidden="1">
      <c r="A224" s="4">
        <v>2.320127002E9</v>
      </c>
      <c r="B224" s="5">
        <v>42478.0</v>
      </c>
      <c r="C224" s="4" t="str">
        <f t="shared" si="1"/>
        <v>232012700242478</v>
      </c>
      <c r="D224" s="4">
        <v>6559.0</v>
      </c>
      <c r="E224" s="4"/>
      <c r="F224" s="13" t="str">
        <f>VLOOKUP(C224,Sleep!C:F,4,FALSE)</f>
        <v>#N/A</v>
      </c>
    </row>
    <row r="225" hidden="1">
      <c r="A225" s="4">
        <v>2.320127002E9</v>
      </c>
      <c r="B225" s="5">
        <v>42479.0</v>
      </c>
      <c r="C225" s="4" t="str">
        <f t="shared" si="1"/>
        <v>232012700242479</v>
      </c>
      <c r="D225" s="4">
        <v>5997.0</v>
      </c>
      <c r="E225" s="4"/>
      <c r="F225" s="13" t="str">
        <f>VLOOKUP(C225,Sleep!C:F,4,FALSE)</f>
        <v>#N/A</v>
      </c>
    </row>
    <row r="226" hidden="1">
      <c r="A226" s="4">
        <v>2.320127002E9</v>
      </c>
      <c r="B226" s="5">
        <v>42480.0</v>
      </c>
      <c r="C226" s="4" t="str">
        <f t="shared" si="1"/>
        <v>232012700242480</v>
      </c>
      <c r="D226" s="4">
        <v>7192.0</v>
      </c>
      <c r="E226" s="4"/>
      <c r="F226" s="13" t="str">
        <f>VLOOKUP(C226,Sleep!C:F,4,FALSE)</f>
        <v>#N/A</v>
      </c>
    </row>
    <row r="227" hidden="1">
      <c r="A227" s="4">
        <v>2.320127002E9</v>
      </c>
      <c r="B227" s="5">
        <v>42481.0</v>
      </c>
      <c r="C227" s="4" t="str">
        <f t="shared" si="1"/>
        <v>232012700242481</v>
      </c>
      <c r="D227" s="4">
        <v>3404.0</v>
      </c>
      <c r="E227" s="4"/>
      <c r="F227" s="13" t="str">
        <f>VLOOKUP(C227,Sleep!C:F,4,FALSE)</f>
        <v>#N/A</v>
      </c>
    </row>
    <row r="228" hidden="1">
      <c r="A228" s="4">
        <v>2.320127002E9</v>
      </c>
      <c r="B228" s="5">
        <v>42482.0</v>
      </c>
      <c r="C228" s="4" t="str">
        <f t="shared" si="1"/>
        <v>232012700242482</v>
      </c>
      <c r="D228" s="4">
        <v>5583.0</v>
      </c>
      <c r="E228" s="4"/>
      <c r="F228" s="13" t="str">
        <f>VLOOKUP(C228,Sleep!C:F,4,FALSE)</f>
        <v>#N/A</v>
      </c>
    </row>
    <row r="229">
      <c r="A229" s="4">
        <v>2.320127002E9</v>
      </c>
      <c r="B229" s="5">
        <v>42483.0</v>
      </c>
      <c r="C229" s="4" t="str">
        <f t="shared" si="1"/>
        <v>232012700242483</v>
      </c>
      <c r="D229" s="4">
        <v>5079.0</v>
      </c>
      <c r="E229" s="13" t="str">
        <f>IF(D229&lt;5000, "LOW",IF(D229&lt;10000,"MEDIUM","HIGH"))</f>
        <v>MEDIUM</v>
      </c>
      <c r="F229" s="16">
        <f>VLOOKUP(C229,Sleep!C:F,4,FALSE)</f>
        <v>0.04236111111</v>
      </c>
      <c r="G229" s="12">
        <f>VLOOKUP(C229,Sleep!C:I,7,FALSE)</f>
        <v>0.884057971</v>
      </c>
    </row>
    <row r="230" hidden="1">
      <c r="A230" s="4">
        <v>2.320127002E9</v>
      </c>
      <c r="B230" s="5">
        <v>42484.0</v>
      </c>
      <c r="C230" s="4" t="str">
        <f t="shared" si="1"/>
        <v>232012700242484</v>
      </c>
      <c r="D230" s="4">
        <v>4165.0</v>
      </c>
      <c r="E230" s="4"/>
      <c r="F230" s="13" t="str">
        <f>VLOOKUP(C230,Sleep!C:F,4,FALSE)</f>
        <v>#N/A</v>
      </c>
    </row>
    <row r="231" hidden="1">
      <c r="A231" s="4">
        <v>2.320127002E9</v>
      </c>
      <c r="B231" s="5">
        <v>42485.0</v>
      </c>
      <c r="C231" s="4" t="str">
        <f t="shared" si="1"/>
        <v>232012700242485</v>
      </c>
      <c r="D231" s="4">
        <v>3588.0</v>
      </c>
      <c r="E231" s="4"/>
      <c r="F231" s="13" t="str">
        <f>VLOOKUP(C231,Sleep!C:F,4,FALSE)</f>
        <v>#N/A</v>
      </c>
    </row>
    <row r="232" hidden="1">
      <c r="A232" s="4">
        <v>2.320127002E9</v>
      </c>
      <c r="B232" s="5">
        <v>42486.0</v>
      </c>
      <c r="C232" s="4" t="str">
        <f t="shared" si="1"/>
        <v>232012700242486</v>
      </c>
      <c r="D232" s="4">
        <v>3409.0</v>
      </c>
      <c r="E232" s="4"/>
      <c r="F232" s="13" t="str">
        <f>VLOOKUP(C232,Sleep!C:F,4,FALSE)</f>
        <v>#N/A</v>
      </c>
    </row>
    <row r="233" hidden="1">
      <c r="A233" s="4">
        <v>2.320127002E9</v>
      </c>
      <c r="B233" s="5">
        <v>42487.0</v>
      </c>
      <c r="C233" s="4" t="str">
        <f t="shared" si="1"/>
        <v>232012700242487</v>
      </c>
      <c r="D233" s="4">
        <v>1715.0</v>
      </c>
      <c r="E233" s="4"/>
      <c r="F233" s="13" t="str">
        <f>VLOOKUP(C233,Sleep!C:F,4,FALSE)</f>
        <v>#N/A</v>
      </c>
    </row>
    <row r="234" hidden="1">
      <c r="A234" s="4">
        <v>2.320127002E9</v>
      </c>
      <c r="B234" s="5">
        <v>42488.0</v>
      </c>
      <c r="C234" s="4" t="str">
        <f t="shared" si="1"/>
        <v>232012700242488</v>
      </c>
      <c r="D234" s="4">
        <v>1532.0</v>
      </c>
      <c r="E234" s="4"/>
      <c r="F234" s="13" t="str">
        <f>VLOOKUP(C234,Sleep!C:F,4,FALSE)</f>
        <v>#N/A</v>
      </c>
    </row>
    <row r="235" hidden="1">
      <c r="A235" s="4">
        <v>2.320127002E9</v>
      </c>
      <c r="B235" s="5">
        <v>42489.0</v>
      </c>
      <c r="C235" s="4" t="str">
        <f t="shared" si="1"/>
        <v>232012700242489</v>
      </c>
      <c r="D235" s="4">
        <v>924.0</v>
      </c>
      <c r="E235" s="4"/>
      <c r="F235" s="13" t="str">
        <f>VLOOKUP(C235,Sleep!C:F,4,FALSE)</f>
        <v>#N/A</v>
      </c>
    </row>
    <row r="236" hidden="1">
      <c r="A236" s="4">
        <v>2.320127002E9</v>
      </c>
      <c r="B236" s="5">
        <v>42490.0</v>
      </c>
      <c r="C236" s="4" t="str">
        <f t="shared" si="1"/>
        <v>232012700242490</v>
      </c>
      <c r="D236" s="4">
        <v>4571.0</v>
      </c>
      <c r="E236" s="4"/>
      <c r="F236" s="13" t="str">
        <f>VLOOKUP(C236,Sleep!C:F,4,FALSE)</f>
        <v>#N/A</v>
      </c>
    </row>
    <row r="237" hidden="1">
      <c r="A237" s="4">
        <v>2.320127002E9</v>
      </c>
      <c r="B237" s="5">
        <v>42491.0</v>
      </c>
      <c r="C237" s="4" t="str">
        <f t="shared" si="1"/>
        <v>232012700242491</v>
      </c>
      <c r="D237" s="4">
        <v>772.0</v>
      </c>
      <c r="E237" s="4"/>
      <c r="F237" s="13" t="str">
        <f>VLOOKUP(C237,Sleep!C:F,4,FALSE)</f>
        <v>#N/A</v>
      </c>
    </row>
    <row r="238" hidden="1">
      <c r="A238" s="4">
        <v>2.320127002E9</v>
      </c>
      <c r="B238" s="5">
        <v>42492.0</v>
      </c>
      <c r="C238" s="4" t="str">
        <f t="shared" si="1"/>
        <v>232012700242492</v>
      </c>
      <c r="D238" s="4">
        <v>3634.0</v>
      </c>
      <c r="E238" s="4"/>
      <c r="F238" s="13" t="str">
        <f>VLOOKUP(C238,Sleep!C:F,4,FALSE)</f>
        <v>#N/A</v>
      </c>
    </row>
    <row r="239" hidden="1">
      <c r="A239" s="4">
        <v>2.320127002E9</v>
      </c>
      <c r="B239" s="5">
        <v>42493.0</v>
      </c>
      <c r="C239" s="4" t="str">
        <f t="shared" si="1"/>
        <v>232012700242493</v>
      </c>
      <c r="D239" s="4">
        <v>7443.0</v>
      </c>
      <c r="E239" s="4"/>
      <c r="F239" s="13" t="str">
        <f>VLOOKUP(C239,Sleep!C:F,4,FALSE)</f>
        <v>#N/A</v>
      </c>
    </row>
    <row r="240" hidden="1">
      <c r="A240" s="4">
        <v>2.320127002E9</v>
      </c>
      <c r="B240" s="5">
        <v>42494.0</v>
      </c>
      <c r="C240" s="4" t="str">
        <f t="shared" si="1"/>
        <v>232012700242494</v>
      </c>
      <c r="D240" s="4">
        <v>1201.0</v>
      </c>
      <c r="E240" s="4"/>
      <c r="F240" s="13" t="str">
        <f>VLOOKUP(C240,Sleep!C:F,4,FALSE)</f>
        <v>#N/A</v>
      </c>
    </row>
    <row r="241" hidden="1">
      <c r="A241" s="4">
        <v>2.320127002E9</v>
      </c>
      <c r="B241" s="5">
        <v>42495.0</v>
      </c>
      <c r="C241" s="4" t="str">
        <f t="shared" si="1"/>
        <v>232012700242495</v>
      </c>
      <c r="D241" s="4">
        <v>5202.0</v>
      </c>
      <c r="E241" s="4"/>
      <c r="F241" s="13" t="str">
        <f>VLOOKUP(C241,Sleep!C:F,4,FALSE)</f>
        <v>#N/A</v>
      </c>
    </row>
    <row r="242" hidden="1">
      <c r="A242" s="4">
        <v>2.320127002E9</v>
      </c>
      <c r="B242" s="5">
        <v>42496.0</v>
      </c>
      <c r="C242" s="4" t="str">
        <f t="shared" si="1"/>
        <v>232012700242496</v>
      </c>
      <c r="D242" s="4">
        <v>4878.0</v>
      </c>
      <c r="E242" s="4"/>
      <c r="F242" s="13" t="str">
        <f>VLOOKUP(C242,Sleep!C:F,4,FALSE)</f>
        <v>#N/A</v>
      </c>
    </row>
    <row r="243" hidden="1">
      <c r="A243" s="4">
        <v>2.320127002E9</v>
      </c>
      <c r="B243" s="5">
        <v>42497.0</v>
      </c>
      <c r="C243" s="4" t="str">
        <f t="shared" si="1"/>
        <v>232012700242497</v>
      </c>
      <c r="D243" s="4">
        <v>7379.0</v>
      </c>
      <c r="E243" s="4"/>
      <c r="F243" s="13" t="str">
        <f>VLOOKUP(C243,Sleep!C:F,4,FALSE)</f>
        <v>#N/A</v>
      </c>
    </row>
    <row r="244" hidden="1">
      <c r="A244" s="4">
        <v>2.320127002E9</v>
      </c>
      <c r="B244" s="5">
        <v>42498.0</v>
      </c>
      <c r="C244" s="4" t="str">
        <f t="shared" si="1"/>
        <v>232012700242498</v>
      </c>
      <c r="D244" s="4">
        <v>5161.0</v>
      </c>
      <c r="E244" s="4"/>
      <c r="F244" s="13" t="str">
        <f>VLOOKUP(C244,Sleep!C:F,4,FALSE)</f>
        <v>#N/A</v>
      </c>
    </row>
    <row r="245" hidden="1">
      <c r="A245" s="4">
        <v>2.320127002E9</v>
      </c>
      <c r="B245" s="5">
        <v>42499.0</v>
      </c>
      <c r="C245" s="4" t="str">
        <f t="shared" si="1"/>
        <v>232012700242499</v>
      </c>
      <c r="D245" s="4">
        <v>3090.0</v>
      </c>
      <c r="E245" s="4"/>
      <c r="F245" s="13" t="str">
        <f>VLOOKUP(C245,Sleep!C:F,4,FALSE)</f>
        <v>#N/A</v>
      </c>
    </row>
    <row r="246" hidden="1">
      <c r="A246" s="4">
        <v>2.320127002E9</v>
      </c>
      <c r="B246" s="5">
        <v>42500.0</v>
      </c>
      <c r="C246" s="4" t="str">
        <f t="shared" si="1"/>
        <v>232012700242500</v>
      </c>
      <c r="D246" s="4">
        <v>6227.0</v>
      </c>
      <c r="E246" s="4"/>
      <c r="F246" s="13" t="str">
        <f>VLOOKUP(C246,Sleep!C:F,4,FALSE)</f>
        <v>#N/A</v>
      </c>
    </row>
    <row r="247" hidden="1">
      <c r="A247" s="4">
        <v>2.320127002E9</v>
      </c>
      <c r="B247" s="5">
        <v>42501.0</v>
      </c>
      <c r="C247" s="4" t="str">
        <f t="shared" si="1"/>
        <v>232012700242501</v>
      </c>
      <c r="D247" s="4">
        <v>6424.0</v>
      </c>
      <c r="E247" s="4"/>
      <c r="F247" s="13" t="str">
        <f>VLOOKUP(C247,Sleep!C:F,4,FALSE)</f>
        <v>#N/A</v>
      </c>
    </row>
    <row r="248" hidden="1">
      <c r="A248" s="4">
        <v>2.320127002E9</v>
      </c>
      <c r="B248" s="5">
        <v>42502.0</v>
      </c>
      <c r="C248" s="4" t="str">
        <f t="shared" si="1"/>
        <v>232012700242502</v>
      </c>
      <c r="D248" s="4">
        <v>2661.0</v>
      </c>
      <c r="E248" s="4"/>
      <c r="F248" s="13" t="str">
        <f>VLOOKUP(C248,Sleep!C:F,4,FALSE)</f>
        <v>#N/A</v>
      </c>
    </row>
    <row r="249" hidden="1">
      <c r="A249" s="4">
        <v>2.347167796E9</v>
      </c>
      <c r="B249" s="5">
        <v>42472.0</v>
      </c>
      <c r="C249" s="4" t="str">
        <f t="shared" si="1"/>
        <v>234716779642472</v>
      </c>
      <c r="D249" s="4">
        <v>10113.0</v>
      </c>
      <c r="E249" s="4"/>
      <c r="F249" s="13" t="str">
        <f>VLOOKUP(C249,Sleep!C:F,4,FALSE)</f>
        <v>#N/A</v>
      </c>
    </row>
    <row r="250">
      <c r="A250" s="4">
        <v>2.347167796E9</v>
      </c>
      <c r="B250" s="5">
        <v>42473.0</v>
      </c>
      <c r="C250" s="4" t="str">
        <f t="shared" si="1"/>
        <v>234716779642473</v>
      </c>
      <c r="D250" s="4">
        <v>10352.0</v>
      </c>
      <c r="E250" s="13" t="str">
        <f t="shared" ref="E250:E252" si="15">IF(D250&lt;5000, "LOW",IF(D250&lt;10000,"MEDIUM","HIGH"))</f>
        <v>HIGH</v>
      </c>
      <c r="F250" s="16">
        <f>VLOOKUP(C250,Sleep!C:F,4,FALSE)</f>
        <v>0.3243055556</v>
      </c>
      <c r="G250" s="12">
        <f>VLOOKUP(C250,Sleep!C:I,7,FALSE)</f>
        <v>0.879472693</v>
      </c>
    </row>
    <row r="251">
      <c r="A251" s="4">
        <v>2.347167796E9</v>
      </c>
      <c r="B251" s="5">
        <v>42474.0</v>
      </c>
      <c r="C251" s="4" t="str">
        <f t="shared" si="1"/>
        <v>234716779642474</v>
      </c>
      <c r="D251" s="4">
        <v>10129.0</v>
      </c>
      <c r="E251" s="13" t="str">
        <f t="shared" si="15"/>
        <v>HIGH</v>
      </c>
      <c r="F251" s="16">
        <f>VLOOKUP(C251,Sleep!C:F,4,FALSE)</f>
        <v>0.3090277778</v>
      </c>
      <c r="G251" s="12">
        <f>VLOOKUP(C251,Sleep!C:I,7,FALSE)</f>
        <v>0.9100204499</v>
      </c>
    </row>
    <row r="252">
      <c r="A252" s="4">
        <v>2.347167796E9</v>
      </c>
      <c r="B252" s="5">
        <v>42475.0</v>
      </c>
      <c r="C252" s="4" t="str">
        <f t="shared" si="1"/>
        <v>234716779642475</v>
      </c>
      <c r="D252" s="4">
        <v>10465.0</v>
      </c>
      <c r="E252" s="13" t="str">
        <f t="shared" si="15"/>
        <v>HIGH</v>
      </c>
      <c r="F252" s="16">
        <f>VLOOKUP(C252,Sleep!C:F,4,FALSE)</f>
        <v>0.3138888889</v>
      </c>
      <c r="G252" s="12">
        <f>VLOOKUP(C252,Sleep!C:I,7,FALSE)</f>
        <v>0.8968253968</v>
      </c>
    </row>
    <row r="253" hidden="1">
      <c r="A253" s="4">
        <v>2.347167796E9</v>
      </c>
      <c r="B253" s="5">
        <v>42476.0</v>
      </c>
      <c r="C253" s="4" t="str">
        <f t="shared" si="1"/>
        <v>234716779642476</v>
      </c>
      <c r="D253" s="4">
        <v>22244.0</v>
      </c>
      <c r="E253" s="4"/>
      <c r="F253" s="13" t="str">
        <f>VLOOKUP(C253,Sleep!C:F,4,FALSE)</f>
        <v>#N/A</v>
      </c>
    </row>
    <row r="254">
      <c r="A254" s="4">
        <v>2.347167796E9</v>
      </c>
      <c r="B254" s="5">
        <v>42477.0</v>
      </c>
      <c r="C254" s="4" t="str">
        <f t="shared" si="1"/>
        <v>234716779642477</v>
      </c>
      <c r="D254" s="4">
        <v>5472.0</v>
      </c>
      <c r="E254" s="13" t="str">
        <f t="shared" ref="E254:E256" si="16">IF(D254&lt;5000, "LOW",IF(D254&lt;10000,"MEDIUM","HIGH"))</f>
        <v>MEDIUM</v>
      </c>
      <c r="F254" s="16">
        <f>VLOOKUP(C254,Sleep!C:F,4,FALSE)</f>
        <v>0.3861111111</v>
      </c>
      <c r="G254" s="12">
        <f>VLOOKUP(C254,Sleep!C:I,7,FALSE)</f>
        <v>0.9235880399</v>
      </c>
    </row>
    <row r="255">
      <c r="A255" s="4">
        <v>2.347167796E9</v>
      </c>
      <c r="B255" s="5">
        <v>42478.0</v>
      </c>
      <c r="C255" s="4" t="str">
        <f t="shared" si="1"/>
        <v>234716779642478</v>
      </c>
      <c r="D255" s="4">
        <v>8247.0</v>
      </c>
      <c r="E255" s="13" t="str">
        <f t="shared" si="16"/>
        <v>MEDIUM</v>
      </c>
      <c r="F255" s="16">
        <f>VLOOKUP(C255,Sleep!C:F,4,FALSE)</f>
        <v>0.3472222222</v>
      </c>
      <c r="G255" s="12">
        <f>VLOOKUP(C255,Sleep!C:I,7,FALSE)</f>
        <v>0.8976660682</v>
      </c>
    </row>
    <row r="256">
      <c r="A256" s="4">
        <v>2.347167796E9</v>
      </c>
      <c r="B256" s="5">
        <v>42479.0</v>
      </c>
      <c r="C256" s="4" t="str">
        <f t="shared" si="1"/>
        <v>234716779642479</v>
      </c>
      <c r="D256" s="4">
        <v>6711.0</v>
      </c>
      <c r="E256" s="13" t="str">
        <f t="shared" si="16"/>
        <v>MEDIUM</v>
      </c>
      <c r="F256" s="16">
        <f>VLOOKUP(C256,Sleep!C:F,4,FALSE)</f>
        <v>0.3229166667</v>
      </c>
      <c r="G256" s="12">
        <f>VLOOKUP(C256,Sleep!C:I,7,FALSE)</f>
        <v>0.9046692607</v>
      </c>
    </row>
    <row r="257" hidden="1">
      <c r="A257" s="4">
        <v>2.347167796E9</v>
      </c>
      <c r="B257" s="5">
        <v>42480.0</v>
      </c>
      <c r="C257" s="4" t="str">
        <f t="shared" si="1"/>
        <v>234716779642480</v>
      </c>
      <c r="D257" s="4">
        <v>10999.0</v>
      </c>
      <c r="E257" s="4"/>
      <c r="F257" s="13" t="str">
        <f>VLOOKUP(C257,Sleep!C:F,4,FALSE)</f>
        <v>#N/A</v>
      </c>
    </row>
    <row r="258">
      <c r="A258" s="4">
        <v>2.347167796E9</v>
      </c>
      <c r="B258" s="5">
        <v>42481.0</v>
      </c>
      <c r="C258" s="4" t="str">
        <f t="shared" si="1"/>
        <v>234716779642481</v>
      </c>
      <c r="D258" s="4">
        <v>10080.0</v>
      </c>
      <c r="E258" s="13" t="str">
        <f t="shared" ref="E258:E266" si="17">IF(D258&lt;5000, "LOW",IF(D258&lt;10000,"MEDIUM","HIGH"))</f>
        <v>HIGH</v>
      </c>
      <c r="F258" s="16">
        <f>VLOOKUP(C258,Sleep!C:F,4,FALSE)</f>
        <v>0.3194444444</v>
      </c>
      <c r="G258" s="12">
        <f>VLOOKUP(C258,Sleep!C:I,7,FALSE)</f>
        <v>0.9504132231</v>
      </c>
    </row>
    <row r="259">
      <c r="A259" s="4">
        <v>2.347167796E9</v>
      </c>
      <c r="B259" s="5">
        <v>42482.0</v>
      </c>
      <c r="C259" s="4" t="str">
        <f t="shared" si="1"/>
        <v>234716779642482</v>
      </c>
      <c r="D259" s="4">
        <v>7804.0</v>
      </c>
      <c r="E259" s="13" t="str">
        <f t="shared" si="17"/>
        <v>MEDIUM</v>
      </c>
      <c r="F259" s="16">
        <f>VLOOKUP(C259,Sleep!C:F,4,FALSE)</f>
        <v>0.28125</v>
      </c>
      <c r="G259" s="12">
        <f>VLOOKUP(C259,Sleep!C:I,7,FALSE)</f>
        <v>0.8785249458</v>
      </c>
    </row>
    <row r="260">
      <c r="A260" s="4">
        <v>2.347167796E9</v>
      </c>
      <c r="B260" s="5">
        <v>42483.0</v>
      </c>
      <c r="C260" s="4" t="str">
        <f t="shared" si="1"/>
        <v>234716779642483</v>
      </c>
      <c r="D260" s="4">
        <v>16901.0</v>
      </c>
      <c r="E260" s="13" t="str">
        <f t="shared" si="17"/>
        <v>HIGH</v>
      </c>
      <c r="F260" s="16">
        <f>VLOOKUP(C260,Sleep!C:F,4,FALSE)</f>
        <v>0.2597222222</v>
      </c>
      <c r="G260" s="12">
        <f>VLOOKUP(C260,Sleep!C:I,7,FALSE)</f>
        <v>0.9689119171</v>
      </c>
    </row>
    <row r="261">
      <c r="A261" s="4">
        <v>2.347167796E9</v>
      </c>
      <c r="B261" s="5">
        <v>42484.0</v>
      </c>
      <c r="C261" s="4" t="str">
        <f t="shared" si="1"/>
        <v>234716779642484</v>
      </c>
      <c r="D261" s="4">
        <v>9471.0</v>
      </c>
      <c r="E261" s="13" t="str">
        <f t="shared" si="17"/>
        <v>MEDIUM</v>
      </c>
      <c r="F261" s="16">
        <f>VLOOKUP(C261,Sleep!C:F,4,FALSE)</f>
        <v>0.3069444444</v>
      </c>
      <c r="G261" s="12">
        <f>VLOOKUP(C261,Sleep!C:I,7,FALSE)</f>
        <v>0.962962963</v>
      </c>
    </row>
    <row r="262">
      <c r="A262" s="4">
        <v>2.347167796E9</v>
      </c>
      <c r="B262" s="5">
        <v>42485.0</v>
      </c>
      <c r="C262" s="4" t="str">
        <f t="shared" si="1"/>
        <v>234716779642485</v>
      </c>
      <c r="D262" s="4">
        <v>9482.0</v>
      </c>
      <c r="E262" s="13" t="str">
        <f t="shared" si="17"/>
        <v>MEDIUM</v>
      </c>
      <c r="F262" s="16">
        <f>VLOOKUP(C262,Sleep!C:F,4,FALSE)</f>
        <v>0.3006944444</v>
      </c>
      <c r="G262" s="12">
        <f>VLOOKUP(C262,Sleep!C:I,7,FALSE)</f>
        <v>0.9193205945</v>
      </c>
    </row>
    <row r="263">
      <c r="A263" s="4">
        <v>2.347167796E9</v>
      </c>
      <c r="B263" s="5">
        <v>42486.0</v>
      </c>
      <c r="C263" s="4" t="str">
        <f t="shared" si="1"/>
        <v>234716779642486</v>
      </c>
      <c r="D263" s="4">
        <v>5980.0</v>
      </c>
      <c r="E263" s="13" t="str">
        <f t="shared" si="17"/>
        <v>MEDIUM</v>
      </c>
      <c r="F263" s="16">
        <f>VLOOKUP(C263,Sleep!C:F,4,FALSE)</f>
        <v>0.3027777778</v>
      </c>
      <c r="G263" s="12">
        <f>VLOOKUP(C263,Sleep!C:I,7,FALSE)</f>
        <v>0.8897959184</v>
      </c>
    </row>
    <row r="264">
      <c r="A264" s="4">
        <v>2.347167796E9</v>
      </c>
      <c r="B264" s="5">
        <v>42487.0</v>
      </c>
      <c r="C264" s="4" t="str">
        <f t="shared" si="1"/>
        <v>234716779642487</v>
      </c>
      <c r="D264" s="4">
        <v>11423.0</v>
      </c>
      <c r="E264" s="13" t="str">
        <f t="shared" si="17"/>
        <v>HIGH</v>
      </c>
      <c r="F264" s="16">
        <f>VLOOKUP(C264,Sleep!C:F,4,FALSE)</f>
        <v>0.3111111111</v>
      </c>
      <c r="G264" s="12">
        <f>VLOOKUP(C264,Sleep!C:I,7,FALSE)</f>
        <v>0.8977955912</v>
      </c>
    </row>
    <row r="265">
      <c r="A265" s="4">
        <v>2.347167796E9</v>
      </c>
      <c r="B265" s="5">
        <v>42488.0</v>
      </c>
      <c r="C265" s="4" t="str">
        <f t="shared" si="1"/>
        <v>234716779642488</v>
      </c>
      <c r="D265" s="4">
        <v>5439.0</v>
      </c>
      <c r="E265" s="13" t="str">
        <f t="shared" si="17"/>
        <v>MEDIUM</v>
      </c>
      <c r="F265" s="16">
        <f>VLOOKUP(C265,Sleep!C:F,4,FALSE)</f>
        <v>0.2833333333</v>
      </c>
      <c r="G265" s="12">
        <f>VLOOKUP(C265,Sleep!C:I,7,FALSE)</f>
        <v>0.9066666667</v>
      </c>
    </row>
    <row r="266">
      <c r="A266" s="4">
        <v>2.347167796E9</v>
      </c>
      <c r="B266" s="5">
        <v>42489.0</v>
      </c>
      <c r="C266" s="4" t="str">
        <f t="shared" si="1"/>
        <v>234716779642489</v>
      </c>
      <c r="D266" s="4">
        <v>42.0</v>
      </c>
      <c r="E266" s="13" t="str">
        <f t="shared" si="17"/>
        <v>LOW</v>
      </c>
      <c r="F266" s="16">
        <f>VLOOKUP(C266,Sleep!C:F,4,FALSE)</f>
        <v>0.2854166667</v>
      </c>
      <c r="G266" s="12">
        <f>VLOOKUP(C266,Sleep!C:I,7,FALSE)</f>
        <v>0.8689217759</v>
      </c>
    </row>
    <row r="267" hidden="1">
      <c r="A267" s="4">
        <v>2.873212765E9</v>
      </c>
      <c r="B267" s="5">
        <v>42472.0</v>
      </c>
      <c r="C267" s="4" t="str">
        <f t="shared" si="1"/>
        <v>287321276542472</v>
      </c>
      <c r="D267" s="4">
        <v>8796.0</v>
      </c>
      <c r="E267" s="4"/>
      <c r="F267" s="13" t="str">
        <f>VLOOKUP(C267,Sleep!C:F,4,FALSE)</f>
        <v>#N/A</v>
      </c>
    </row>
    <row r="268" hidden="1">
      <c r="A268" s="4">
        <v>2.873212765E9</v>
      </c>
      <c r="B268" s="5">
        <v>42473.0</v>
      </c>
      <c r="C268" s="4" t="str">
        <f t="shared" si="1"/>
        <v>287321276542473</v>
      </c>
      <c r="D268" s="4">
        <v>7618.0</v>
      </c>
      <c r="E268" s="4"/>
      <c r="F268" s="13" t="str">
        <f>VLOOKUP(C268,Sleep!C:F,4,FALSE)</f>
        <v>#N/A</v>
      </c>
    </row>
    <row r="269" hidden="1">
      <c r="A269" s="4">
        <v>2.873212765E9</v>
      </c>
      <c r="B269" s="5">
        <v>42474.0</v>
      </c>
      <c r="C269" s="4" t="str">
        <f t="shared" si="1"/>
        <v>287321276542474</v>
      </c>
      <c r="D269" s="4">
        <v>7910.0</v>
      </c>
      <c r="E269" s="4"/>
      <c r="F269" s="13" t="str">
        <f>VLOOKUP(C269,Sleep!C:F,4,FALSE)</f>
        <v>#N/A</v>
      </c>
    </row>
    <row r="270" hidden="1">
      <c r="A270" s="4">
        <v>2.873212765E9</v>
      </c>
      <c r="B270" s="5">
        <v>42475.0</v>
      </c>
      <c r="C270" s="4" t="str">
        <f t="shared" si="1"/>
        <v>287321276542475</v>
      </c>
      <c r="D270" s="4">
        <v>8482.0</v>
      </c>
      <c r="E270" s="4"/>
      <c r="F270" s="13" t="str">
        <f>VLOOKUP(C270,Sleep!C:F,4,FALSE)</f>
        <v>#N/A</v>
      </c>
    </row>
    <row r="271" hidden="1">
      <c r="A271" s="4">
        <v>2.873212765E9</v>
      </c>
      <c r="B271" s="5">
        <v>42476.0</v>
      </c>
      <c r="C271" s="4" t="str">
        <f t="shared" si="1"/>
        <v>287321276542476</v>
      </c>
      <c r="D271" s="4">
        <v>9685.0</v>
      </c>
      <c r="E271" s="4"/>
      <c r="F271" s="13" t="str">
        <f>VLOOKUP(C271,Sleep!C:F,4,FALSE)</f>
        <v>#N/A</v>
      </c>
    </row>
    <row r="272" hidden="1">
      <c r="A272" s="4">
        <v>2.873212765E9</v>
      </c>
      <c r="B272" s="5">
        <v>42477.0</v>
      </c>
      <c r="C272" s="4" t="str">
        <f t="shared" si="1"/>
        <v>287321276542477</v>
      </c>
      <c r="D272" s="4">
        <v>2524.0</v>
      </c>
      <c r="E272" s="4"/>
      <c r="F272" s="13" t="str">
        <f>VLOOKUP(C272,Sleep!C:F,4,FALSE)</f>
        <v>#N/A</v>
      </c>
    </row>
    <row r="273" hidden="1">
      <c r="A273" s="4">
        <v>2.873212765E9</v>
      </c>
      <c r="B273" s="5">
        <v>42478.0</v>
      </c>
      <c r="C273" s="4" t="str">
        <f t="shared" si="1"/>
        <v>287321276542478</v>
      </c>
      <c r="D273" s="4">
        <v>7762.0</v>
      </c>
      <c r="E273" s="4"/>
      <c r="F273" s="13" t="str">
        <f>VLOOKUP(C273,Sleep!C:F,4,FALSE)</f>
        <v>#N/A</v>
      </c>
    </row>
    <row r="274" hidden="1">
      <c r="A274" s="4">
        <v>2.873212765E9</v>
      </c>
      <c r="B274" s="5">
        <v>42479.0</v>
      </c>
      <c r="C274" s="4" t="str">
        <f t="shared" si="1"/>
        <v>287321276542479</v>
      </c>
      <c r="D274" s="4">
        <v>7948.0</v>
      </c>
      <c r="E274" s="4"/>
      <c r="F274" s="13" t="str">
        <f>VLOOKUP(C274,Sleep!C:F,4,FALSE)</f>
        <v>#N/A</v>
      </c>
    </row>
    <row r="275" hidden="1">
      <c r="A275" s="4">
        <v>2.873212765E9</v>
      </c>
      <c r="B275" s="5">
        <v>42480.0</v>
      </c>
      <c r="C275" s="4" t="str">
        <f t="shared" si="1"/>
        <v>287321276542480</v>
      </c>
      <c r="D275" s="4">
        <v>9202.0</v>
      </c>
      <c r="E275" s="4"/>
      <c r="F275" s="13" t="str">
        <f>VLOOKUP(C275,Sleep!C:F,4,FALSE)</f>
        <v>#N/A</v>
      </c>
    </row>
    <row r="276" hidden="1">
      <c r="A276" s="4">
        <v>2.873212765E9</v>
      </c>
      <c r="B276" s="5">
        <v>42481.0</v>
      </c>
      <c r="C276" s="4" t="str">
        <f t="shared" si="1"/>
        <v>287321276542481</v>
      </c>
      <c r="D276" s="4">
        <v>8859.0</v>
      </c>
      <c r="E276" s="4"/>
      <c r="F276" s="13" t="str">
        <f>VLOOKUP(C276,Sleep!C:F,4,FALSE)</f>
        <v>#N/A</v>
      </c>
    </row>
    <row r="277" hidden="1">
      <c r="A277" s="4">
        <v>2.873212765E9</v>
      </c>
      <c r="B277" s="5">
        <v>42482.0</v>
      </c>
      <c r="C277" s="4" t="str">
        <f t="shared" si="1"/>
        <v>287321276542482</v>
      </c>
      <c r="D277" s="4">
        <v>7286.0</v>
      </c>
      <c r="E277" s="4"/>
      <c r="F277" s="13" t="str">
        <f>VLOOKUP(C277,Sleep!C:F,4,FALSE)</f>
        <v>#N/A</v>
      </c>
    </row>
    <row r="278" hidden="1">
      <c r="A278" s="4">
        <v>2.873212765E9</v>
      </c>
      <c r="B278" s="5">
        <v>42483.0</v>
      </c>
      <c r="C278" s="4" t="str">
        <f t="shared" si="1"/>
        <v>287321276542483</v>
      </c>
      <c r="D278" s="4">
        <v>9317.0</v>
      </c>
      <c r="E278" s="4"/>
      <c r="F278" s="13" t="str">
        <f>VLOOKUP(C278,Sleep!C:F,4,FALSE)</f>
        <v>#N/A</v>
      </c>
    </row>
    <row r="279" hidden="1">
      <c r="A279" s="4">
        <v>2.873212765E9</v>
      </c>
      <c r="B279" s="5">
        <v>42484.0</v>
      </c>
      <c r="C279" s="4" t="str">
        <f t="shared" si="1"/>
        <v>287321276542484</v>
      </c>
      <c r="D279" s="4">
        <v>6873.0</v>
      </c>
      <c r="E279" s="4"/>
      <c r="F279" s="13" t="str">
        <f>VLOOKUP(C279,Sleep!C:F,4,FALSE)</f>
        <v>#N/A</v>
      </c>
    </row>
    <row r="280" hidden="1">
      <c r="A280" s="4">
        <v>2.873212765E9</v>
      </c>
      <c r="B280" s="5">
        <v>42485.0</v>
      </c>
      <c r="C280" s="4" t="str">
        <f t="shared" si="1"/>
        <v>287321276542485</v>
      </c>
      <c r="D280" s="4">
        <v>7373.0</v>
      </c>
      <c r="E280" s="4"/>
      <c r="F280" s="13" t="str">
        <f>VLOOKUP(C280,Sleep!C:F,4,FALSE)</f>
        <v>#N/A</v>
      </c>
    </row>
    <row r="281" hidden="1">
      <c r="A281" s="4">
        <v>2.873212765E9</v>
      </c>
      <c r="B281" s="5">
        <v>42486.0</v>
      </c>
      <c r="C281" s="4" t="str">
        <f t="shared" si="1"/>
        <v>287321276542486</v>
      </c>
      <c r="D281" s="4">
        <v>8242.0</v>
      </c>
      <c r="E281" s="4"/>
      <c r="F281" s="13" t="str">
        <f>VLOOKUP(C281,Sleep!C:F,4,FALSE)</f>
        <v>#N/A</v>
      </c>
    </row>
    <row r="282" hidden="1">
      <c r="A282" s="4">
        <v>2.873212765E9</v>
      </c>
      <c r="B282" s="5">
        <v>42487.0</v>
      </c>
      <c r="C282" s="4" t="str">
        <f t="shared" si="1"/>
        <v>287321276542487</v>
      </c>
      <c r="D282" s="4">
        <v>3516.0</v>
      </c>
      <c r="E282" s="4"/>
      <c r="F282" s="13" t="str">
        <f>VLOOKUP(C282,Sleep!C:F,4,FALSE)</f>
        <v>#N/A</v>
      </c>
    </row>
    <row r="283" hidden="1">
      <c r="A283" s="4">
        <v>2.873212765E9</v>
      </c>
      <c r="B283" s="5">
        <v>42488.0</v>
      </c>
      <c r="C283" s="4" t="str">
        <f t="shared" si="1"/>
        <v>287321276542488</v>
      </c>
      <c r="D283" s="4">
        <v>7913.0</v>
      </c>
      <c r="E283" s="4"/>
      <c r="F283" s="13" t="str">
        <f>VLOOKUP(C283,Sleep!C:F,4,FALSE)</f>
        <v>#N/A</v>
      </c>
    </row>
    <row r="284" hidden="1">
      <c r="A284" s="4">
        <v>2.873212765E9</v>
      </c>
      <c r="B284" s="5">
        <v>42489.0</v>
      </c>
      <c r="C284" s="4" t="str">
        <f t="shared" si="1"/>
        <v>287321276542489</v>
      </c>
      <c r="D284" s="4">
        <v>7365.0</v>
      </c>
      <c r="E284" s="4"/>
      <c r="F284" s="13" t="str">
        <f>VLOOKUP(C284,Sleep!C:F,4,FALSE)</f>
        <v>#N/A</v>
      </c>
    </row>
    <row r="285" hidden="1">
      <c r="A285" s="4">
        <v>2.873212765E9</v>
      </c>
      <c r="B285" s="5">
        <v>42490.0</v>
      </c>
      <c r="C285" s="4" t="str">
        <f t="shared" si="1"/>
        <v>287321276542490</v>
      </c>
      <c r="D285" s="4">
        <v>8452.0</v>
      </c>
      <c r="E285" s="4"/>
      <c r="F285" s="13" t="str">
        <f>VLOOKUP(C285,Sleep!C:F,4,FALSE)</f>
        <v>#N/A</v>
      </c>
    </row>
    <row r="286" hidden="1">
      <c r="A286" s="4">
        <v>2.873212765E9</v>
      </c>
      <c r="B286" s="5">
        <v>42491.0</v>
      </c>
      <c r="C286" s="4" t="str">
        <f t="shared" si="1"/>
        <v>287321276542491</v>
      </c>
      <c r="D286" s="4">
        <v>7399.0</v>
      </c>
      <c r="E286" s="4"/>
      <c r="F286" s="13" t="str">
        <f>VLOOKUP(C286,Sleep!C:F,4,FALSE)</f>
        <v>#N/A</v>
      </c>
    </row>
    <row r="287" hidden="1">
      <c r="A287" s="4">
        <v>2.873212765E9</v>
      </c>
      <c r="B287" s="5">
        <v>42492.0</v>
      </c>
      <c r="C287" s="4" t="str">
        <f t="shared" si="1"/>
        <v>287321276542492</v>
      </c>
      <c r="D287" s="4">
        <v>7525.0</v>
      </c>
      <c r="E287" s="4"/>
      <c r="F287" s="13" t="str">
        <f>VLOOKUP(C287,Sleep!C:F,4,FALSE)</f>
        <v>#N/A</v>
      </c>
    </row>
    <row r="288" hidden="1">
      <c r="A288" s="4">
        <v>2.873212765E9</v>
      </c>
      <c r="B288" s="5">
        <v>42493.0</v>
      </c>
      <c r="C288" s="4" t="str">
        <f t="shared" si="1"/>
        <v>287321276542493</v>
      </c>
      <c r="D288" s="4">
        <v>7412.0</v>
      </c>
      <c r="E288" s="4"/>
      <c r="F288" s="13" t="str">
        <f>VLOOKUP(C288,Sleep!C:F,4,FALSE)</f>
        <v>#N/A</v>
      </c>
    </row>
    <row r="289" hidden="1">
      <c r="A289" s="4">
        <v>2.873212765E9</v>
      </c>
      <c r="B289" s="5">
        <v>42494.0</v>
      </c>
      <c r="C289" s="4" t="str">
        <f t="shared" si="1"/>
        <v>287321276542494</v>
      </c>
      <c r="D289" s="4">
        <v>8278.0</v>
      </c>
      <c r="E289" s="4"/>
      <c r="F289" s="13" t="str">
        <f>VLOOKUP(C289,Sleep!C:F,4,FALSE)</f>
        <v>#N/A</v>
      </c>
    </row>
    <row r="290" hidden="1">
      <c r="A290" s="4">
        <v>2.873212765E9</v>
      </c>
      <c r="B290" s="5">
        <v>42495.0</v>
      </c>
      <c r="C290" s="4" t="str">
        <f t="shared" si="1"/>
        <v>287321276542495</v>
      </c>
      <c r="D290" s="4">
        <v>8314.0</v>
      </c>
      <c r="E290" s="4"/>
      <c r="F290" s="13" t="str">
        <f>VLOOKUP(C290,Sleep!C:F,4,FALSE)</f>
        <v>#N/A</v>
      </c>
    </row>
    <row r="291" hidden="1">
      <c r="A291" s="4">
        <v>2.873212765E9</v>
      </c>
      <c r="B291" s="5">
        <v>42496.0</v>
      </c>
      <c r="C291" s="4" t="str">
        <f t="shared" si="1"/>
        <v>287321276542496</v>
      </c>
      <c r="D291" s="4">
        <v>7063.0</v>
      </c>
      <c r="E291" s="4"/>
      <c r="F291" s="13" t="str">
        <f>VLOOKUP(C291,Sleep!C:F,4,FALSE)</f>
        <v>#N/A</v>
      </c>
    </row>
    <row r="292" hidden="1">
      <c r="A292" s="4">
        <v>2.873212765E9</v>
      </c>
      <c r="B292" s="5">
        <v>42497.0</v>
      </c>
      <c r="C292" s="4" t="str">
        <f t="shared" si="1"/>
        <v>287321276542497</v>
      </c>
      <c r="D292" s="4">
        <v>4940.0</v>
      </c>
      <c r="E292" s="4"/>
      <c r="F292" s="13" t="str">
        <f>VLOOKUP(C292,Sleep!C:F,4,FALSE)</f>
        <v>#N/A</v>
      </c>
    </row>
    <row r="293" hidden="1">
      <c r="A293" s="4">
        <v>2.873212765E9</v>
      </c>
      <c r="B293" s="5">
        <v>42498.0</v>
      </c>
      <c r="C293" s="4" t="str">
        <f t="shared" si="1"/>
        <v>287321276542498</v>
      </c>
      <c r="D293" s="4">
        <v>8168.0</v>
      </c>
      <c r="E293" s="4"/>
      <c r="F293" s="13" t="str">
        <f>VLOOKUP(C293,Sleep!C:F,4,FALSE)</f>
        <v>#N/A</v>
      </c>
    </row>
    <row r="294" hidden="1">
      <c r="A294" s="4">
        <v>2.873212765E9</v>
      </c>
      <c r="B294" s="5">
        <v>42499.0</v>
      </c>
      <c r="C294" s="4" t="str">
        <f t="shared" si="1"/>
        <v>287321276542499</v>
      </c>
      <c r="D294" s="4">
        <v>7726.0</v>
      </c>
      <c r="E294" s="4"/>
      <c r="F294" s="13" t="str">
        <f>VLOOKUP(C294,Sleep!C:F,4,FALSE)</f>
        <v>#N/A</v>
      </c>
    </row>
    <row r="295" hidden="1">
      <c r="A295" s="4">
        <v>2.873212765E9</v>
      </c>
      <c r="B295" s="5">
        <v>42500.0</v>
      </c>
      <c r="C295" s="4" t="str">
        <f t="shared" si="1"/>
        <v>287321276542500</v>
      </c>
      <c r="D295" s="4">
        <v>8275.0</v>
      </c>
      <c r="E295" s="4"/>
      <c r="F295" s="13" t="str">
        <f>VLOOKUP(C295,Sleep!C:F,4,FALSE)</f>
        <v>#N/A</v>
      </c>
    </row>
    <row r="296" hidden="1">
      <c r="A296" s="4">
        <v>2.873212765E9</v>
      </c>
      <c r="B296" s="5">
        <v>42501.0</v>
      </c>
      <c r="C296" s="4" t="str">
        <f t="shared" si="1"/>
        <v>287321276542501</v>
      </c>
      <c r="D296" s="4">
        <v>6440.0</v>
      </c>
      <c r="E296" s="4"/>
      <c r="F296" s="13" t="str">
        <f>VLOOKUP(C296,Sleep!C:F,4,FALSE)</f>
        <v>#N/A</v>
      </c>
    </row>
    <row r="297" hidden="1">
      <c r="A297" s="4">
        <v>2.873212765E9</v>
      </c>
      <c r="B297" s="5">
        <v>42502.0</v>
      </c>
      <c r="C297" s="4" t="str">
        <f t="shared" si="1"/>
        <v>287321276542502</v>
      </c>
      <c r="D297" s="4">
        <v>7566.0</v>
      </c>
      <c r="E297" s="4"/>
      <c r="F297" s="13" t="str">
        <f>VLOOKUP(C297,Sleep!C:F,4,FALSE)</f>
        <v>#N/A</v>
      </c>
    </row>
    <row r="298" hidden="1">
      <c r="A298" s="4">
        <v>3.372868164E9</v>
      </c>
      <c r="B298" s="5">
        <v>42472.0</v>
      </c>
      <c r="C298" s="4" t="str">
        <f t="shared" si="1"/>
        <v>337286816442472</v>
      </c>
      <c r="D298" s="4">
        <v>4747.0</v>
      </c>
      <c r="E298" s="4"/>
      <c r="F298" s="13" t="str">
        <f>VLOOKUP(C298,Sleep!C:F,4,FALSE)</f>
        <v>#N/A</v>
      </c>
    </row>
    <row r="299" hidden="1">
      <c r="A299" s="4">
        <v>3.372868164E9</v>
      </c>
      <c r="B299" s="5">
        <v>42473.0</v>
      </c>
      <c r="C299" s="4" t="str">
        <f t="shared" si="1"/>
        <v>337286816442473</v>
      </c>
      <c r="D299" s="4">
        <v>9715.0</v>
      </c>
      <c r="E299" s="4"/>
      <c r="F299" s="13" t="str">
        <f>VLOOKUP(C299,Sleep!C:F,4,FALSE)</f>
        <v>#N/A</v>
      </c>
    </row>
    <row r="300" hidden="1">
      <c r="A300" s="4">
        <v>3.372868164E9</v>
      </c>
      <c r="B300" s="5">
        <v>42474.0</v>
      </c>
      <c r="C300" s="4" t="str">
        <f t="shared" si="1"/>
        <v>337286816442474</v>
      </c>
      <c r="D300" s="4">
        <v>8844.0</v>
      </c>
      <c r="E300" s="4"/>
      <c r="F300" s="13" t="str">
        <f>VLOOKUP(C300,Sleep!C:F,4,FALSE)</f>
        <v>#N/A</v>
      </c>
    </row>
    <row r="301" hidden="1">
      <c r="A301" s="4">
        <v>3.372868164E9</v>
      </c>
      <c r="B301" s="5">
        <v>42475.0</v>
      </c>
      <c r="C301" s="4" t="str">
        <f t="shared" si="1"/>
        <v>337286816442475</v>
      </c>
      <c r="D301" s="4">
        <v>7451.0</v>
      </c>
      <c r="E301" s="4"/>
      <c r="F301" s="13" t="str">
        <f>VLOOKUP(C301,Sleep!C:F,4,FALSE)</f>
        <v>#N/A</v>
      </c>
    </row>
    <row r="302" hidden="1">
      <c r="A302" s="4">
        <v>3.372868164E9</v>
      </c>
      <c r="B302" s="5">
        <v>42476.0</v>
      </c>
      <c r="C302" s="4" t="str">
        <f t="shared" si="1"/>
        <v>337286816442476</v>
      </c>
      <c r="D302" s="4">
        <v>6905.0</v>
      </c>
      <c r="E302" s="4"/>
      <c r="F302" s="13" t="str">
        <f>VLOOKUP(C302,Sleep!C:F,4,FALSE)</f>
        <v>#N/A</v>
      </c>
    </row>
    <row r="303" hidden="1">
      <c r="A303" s="4">
        <v>3.372868164E9</v>
      </c>
      <c r="B303" s="5">
        <v>42477.0</v>
      </c>
      <c r="C303" s="4" t="str">
        <f t="shared" si="1"/>
        <v>337286816442477</v>
      </c>
      <c r="D303" s="4">
        <v>8199.0</v>
      </c>
      <c r="E303" s="4"/>
      <c r="F303" s="13" t="str">
        <f>VLOOKUP(C303,Sleep!C:F,4,FALSE)</f>
        <v>#N/A</v>
      </c>
    </row>
    <row r="304" hidden="1">
      <c r="A304" s="4">
        <v>3.372868164E9</v>
      </c>
      <c r="B304" s="5">
        <v>42478.0</v>
      </c>
      <c r="C304" s="4" t="str">
        <f t="shared" si="1"/>
        <v>337286816442478</v>
      </c>
      <c r="D304" s="4">
        <v>6798.0</v>
      </c>
      <c r="E304" s="4"/>
      <c r="F304" s="13" t="str">
        <f>VLOOKUP(C304,Sleep!C:F,4,FALSE)</f>
        <v>#N/A</v>
      </c>
    </row>
    <row r="305" hidden="1">
      <c r="A305" s="4">
        <v>3.372868164E9</v>
      </c>
      <c r="B305" s="5">
        <v>42479.0</v>
      </c>
      <c r="C305" s="4" t="str">
        <f t="shared" si="1"/>
        <v>337286816442479</v>
      </c>
      <c r="D305" s="4">
        <v>7711.0</v>
      </c>
      <c r="E305" s="4"/>
      <c r="F305" s="13" t="str">
        <f>VLOOKUP(C305,Sleep!C:F,4,FALSE)</f>
        <v>#N/A</v>
      </c>
    </row>
    <row r="306" hidden="1">
      <c r="A306" s="4">
        <v>3.372868164E9</v>
      </c>
      <c r="B306" s="5">
        <v>42480.0</v>
      </c>
      <c r="C306" s="4" t="str">
        <f t="shared" si="1"/>
        <v>337286816442480</v>
      </c>
      <c r="D306" s="4">
        <v>4880.0</v>
      </c>
      <c r="E306" s="4"/>
      <c r="F306" s="13" t="str">
        <f>VLOOKUP(C306,Sleep!C:F,4,FALSE)</f>
        <v>#N/A</v>
      </c>
    </row>
    <row r="307" hidden="1">
      <c r="A307" s="4">
        <v>3.372868164E9</v>
      </c>
      <c r="B307" s="5">
        <v>42481.0</v>
      </c>
      <c r="C307" s="4" t="str">
        <f t="shared" si="1"/>
        <v>337286816442481</v>
      </c>
      <c r="D307" s="4">
        <v>8857.0</v>
      </c>
      <c r="E307" s="4"/>
      <c r="F307" s="13" t="str">
        <f>VLOOKUP(C307,Sleep!C:F,4,FALSE)</f>
        <v>#N/A</v>
      </c>
    </row>
    <row r="308" hidden="1">
      <c r="A308" s="4">
        <v>3.372868164E9</v>
      </c>
      <c r="B308" s="5">
        <v>42482.0</v>
      </c>
      <c r="C308" s="4" t="str">
        <f t="shared" si="1"/>
        <v>337286816442482</v>
      </c>
      <c r="D308" s="4">
        <v>3843.0</v>
      </c>
      <c r="E308" s="4"/>
      <c r="F308" s="13" t="str">
        <f>VLOOKUP(C308,Sleep!C:F,4,FALSE)</f>
        <v>#N/A</v>
      </c>
    </row>
    <row r="309" hidden="1">
      <c r="A309" s="4">
        <v>3.372868164E9</v>
      </c>
      <c r="B309" s="5">
        <v>42483.0</v>
      </c>
      <c r="C309" s="4" t="str">
        <f t="shared" si="1"/>
        <v>337286816442483</v>
      </c>
      <c r="D309" s="4">
        <v>7396.0</v>
      </c>
      <c r="E309" s="4"/>
      <c r="F309" s="13" t="str">
        <f>VLOOKUP(C309,Sleep!C:F,4,FALSE)</f>
        <v>#N/A</v>
      </c>
    </row>
    <row r="310" hidden="1">
      <c r="A310" s="4">
        <v>3.372868164E9</v>
      </c>
      <c r="B310" s="5">
        <v>42484.0</v>
      </c>
      <c r="C310" s="4" t="str">
        <f t="shared" si="1"/>
        <v>337286816442484</v>
      </c>
      <c r="D310" s="4">
        <v>6731.0</v>
      </c>
      <c r="E310" s="4"/>
      <c r="F310" s="13" t="str">
        <f>VLOOKUP(C310,Sleep!C:F,4,FALSE)</f>
        <v>#N/A</v>
      </c>
    </row>
    <row r="311" hidden="1">
      <c r="A311" s="4">
        <v>3.372868164E9</v>
      </c>
      <c r="B311" s="5">
        <v>42485.0</v>
      </c>
      <c r="C311" s="4" t="str">
        <f t="shared" si="1"/>
        <v>337286816442485</v>
      </c>
      <c r="D311" s="4">
        <v>5995.0</v>
      </c>
      <c r="E311" s="4"/>
      <c r="F311" s="13" t="str">
        <f>VLOOKUP(C311,Sleep!C:F,4,FALSE)</f>
        <v>#N/A</v>
      </c>
    </row>
    <row r="312" hidden="1">
      <c r="A312" s="4">
        <v>3.372868164E9</v>
      </c>
      <c r="B312" s="5">
        <v>42486.0</v>
      </c>
      <c r="C312" s="4" t="str">
        <f t="shared" si="1"/>
        <v>337286816442486</v>
      </c>
      <c r="D312" s="4">
        <v>8283.0</v>
      </c>
      <c r="E312" s="4"/>
      <c r="F312" s="13" t="str">
        <f>VLOOKUP(C312,Sleep!C:F,4,FALSE)</f>
        <v>#N/A</v>
      </c>
    </row>
    <row r="313" hidden="1">
      <c r="A313" s="4">
        <v>3.372868164E9</v>
      </c>
      <c r="B313" s="5">
        <v>42487.0</v>
      </c>
      <c r="C313" s="4" t="str">
        <f t="shared" si="1"/>
        <v>337286816442487</v>
      </c>
      <c r="D313" s="4">
        <v>7904.0</v>
      </c>
      <c r="E313" s="4"/>
      <c r="F313" s="13" t="str">
        <f>VLOOKUP(C313,Sleep!C:F,4,FALSE)</f>
        <v>#N/A</v>
      </c>
    </row>
    <row r="314" hidden="1">
      <c r="A314" s="4">
        <v>3.372868164E9</v>
      </c>
      <c r="B314" s="5">
        <v>42488.0</v>
      </c>
      <c r="C314" s="4" t="str">
        <f t="shared" si="1"/>
        <v>337286816442488</v>
      </c>
      <c r="D314" s="4">
        <v>5512.0</v>
      </c>
      <c r="E314" s="4"/>
      <c r="F314" s="13" t="str">
        <f>VLOOKUP(C314,Sleep!C:F,4,FALSE)</f>
        <v>#N/A</v>
      </c>
    </row>
    <row r="315" hidden="1">
      <c r="A315" s="4">
        <v>3.372868164E9</v>
      </c>
      <c r="B315" s="5">
        <v>42489.0</v>
      </c>
      <c r="C315" s="4" t="str">
        <f t="shared" si="1"/>
        <v>337286816442489</v>
      </c>
      <c r="D315" s="4">
        <v>9135.0</v>
      </c>
      <c r="E315" s="4"/>
      <c r="F315" s="13" t="str">
        <f>VLOOKUP(C315,Sleep!C:F,4,FALSE)</f>
        <v>#N/A</v>
      </c>
    </row>
    <row r="316" hidden="1">
      <c r="A316" s="4">
        <v>3.372868164E9</v>
      </c>
      <c r="B316" s="5">
        <v>42490.0</v>
      </c>
      <c r="C316" s="4" t="str">
        <f t="shared" si="1"/>
        <v>337286816442490</v>
      </c>
      <c r="D316" s="4">
        <v>5250.0</v>
      </c>
      <c r="E316" s="4"/>
      <c r="F316" s="13" t="str">
        <f>VLOOKUP(C316,Sleep!C:F,4,FALSE)</f>
        <v>#N/A</v>
      </c>
    </row>
    <row r="317" hidden="1">
      <c r="A317" s="4">
        <v>3.372868164E9</v>
      </c>
      <c r="B317" s="5">
        <v>42491.0</v>
      </c>
      <c r="C317" s="4" t="str">
        <f t="shared" si="1"/>
        <v>337286816442491</v>
      </c>
      <c r="D317" s="4">
        <v>3077.0</v>
      </c>
      <c r="E317" s="4"/>
      <c r="F317" s="13" t="str">
        <f>VLOOKUP(C317,Sleep!C:F,4,FALSE)</f>
        <v>#N/A</v>
      </c>
    </row>
    <row r="318">
      <c r="A318" s="4">
        <v>3.977333714E9</v>
      </c>
      <c r="B318" s="5">
        <v>42472.0</v>
      </c>
      <c r="C318" s="4" t="str">
        <f t="shared" si="1"/>
        <v>397733371442472</v>
      </c>
      <c r="D318" s="4">
        <v>8856.0</v>
      </c>
      <c r="E318" s="13" t="str">
        <f t="shared" ref="E318:E344" si="18">IF(D318&lt;5000, "LOW",IF(D318&lt;10000,"MEDIUM","HIGH"))</f>
        <v>MEDIUM</v>
      </c>
      <c r="F318" s="16">
        <f>VLOOKUP(C318,Sleep!C:F,4,FALSE)</f>
        <v>0.1902777778</v>
      </c>
      <c r="G318" s="12">
        <f>VLOOKUP(C318,Sleep!C:I,7,FALSE)</f>
        <v>0.5842217484</v>
      </c>
    </row>
    <row r="319">
      <c r="A319" s="4">
        <v>3.977333714E9</v>
      </c>
      <c r="B319" s="5">
        <v>42473.0</v>
      </c>
      <c r="C319" s="4" t="str">
        <f t="shared" si="1"/>
        <v>397733371442473</v>
      </c>
      <c r="D319" s="4">
        <v>10035.0</v>
      </c>
      <c r="E319" s="13" t="str">
        <f t="shared" si="18"/>
        <v>HIGH</v>
      </c>
      <c r="F319" s="16">
        <f>VLOOKUP(C319,Sleep!C:F,4,FALSE)</f>
        <v>0.2048611111</v>
      </c>
      <c r="G319" s="12">
        <f>VLOOKUP(C319,Sleep!C:I,7,FALSE)</f>
        <v>0.6469298246</v>
      </c>
    </row>
    <row r="320">
      <c r="A320" s="4">
        <v>3.977333714E9</v>
      </c>
      <c r="B320" s="5">
        <v>42474.0</v>
      </c>
      <c r="C320" s="4" t="str">
        <f t="shared" si="1"/>
        <v>397733371442474</v>
      </c>
      <c r="D320" s="4">
        <v>7641.0</v>
      </c>
      <c r="E320" s="13" t="str">
        <f t="shared" si="18"/>
        <v>MEDIUM</v>
      </c>
      <c r="F320" s="16">
        <f>VLOOKUP(C320,Sleep!C:F,4,FALSE)</f>
        <v>0.2020833333</v>
      </c>
      <c r="G320" s="12">
        <f>VLOOKUP(C320,Sleep!C:I,7,FALSE)</f>
        <v>0.7329974811</v>
      </c>
    </row>
    <row r="321">
      <c r="A321" s="4">
        <v>3.977333714E9</v>
      </c>
      <c r="B321" s="5">
        <v>42475.0</v>
      </c>
      <c r="C321" s="4" t="str">
        <f t="shared" si="1"/>
        <v>397733371442475</v>
      </c>
      <c r="D321" s="4">
        <v>9010.0</v>
      </c>
      <c r="E321" s="13" t="str">
        <f t="shared" si="18"/>
        <v>MEDIUM</v>
      </c>
      <c r="F321" s="16">
        <f>VLOOKUP(C321,Sleep!C:F,4,FALSE)</f>
        <v>0.2944444444</v>
      </c>
      <c r="G321" s="12">
        <f>VLOOKUP(C321,Sleep!C:I,7,FALSE)</f>
        <v>0.7625899281</v>
      </c>
    </row>
    <row r="322">
      <c r="A322" s="4">
        <v>3.977333714E9</v>
      </c>
      <c r="B322" s="5">
        <v>42476.0</v>
      </c>
      <c r="C322" s="4" t="str">
        <f t="shared" si="1"/>
        <v>397733371442476</v>
      </c>
      <c r="D322" s="4">
        <v>13459.0</v>
      </c>
      <c r="E322" s="13" t="str">
        <f t="shared" si="18"/>
        <v>HIGH</v>
      </c>
      <c r="F322" s="16">
        <f>VLOOKUP(C322,Sleep!C:F,4,FALSE)</f>
        <v>0.1965277778</v>
      </c>
      <c r="G322" s="12">
        <f>VLOOKUP(C322,Sleep!C:I,7,FALSE)</f>
        <v>0.5549019608</v>
      </c>
    </row>
    <row r="323">
      <c r="A323" s="4">
        <v>3.977333714E9</v>
      </c>
      <c r="B323" s="5">
        <v>42477.0</v>
      </c>
      <c r="C323" s="4" t="str">
        <f t="shared" si="1"/>
        <v>397733371442477</v>
      </c>
      <c r="D323" s="4">
        <v>10415.0</v>
      </c>
      <c r="E323" s="13" t="str">
        <f t="shared" si="18"/>
        <v>HIGH</v>
      </c>
      <c r="F323" s="16">
        <f>VLOOKUP(C323,Sleep!C:F,4,FALSE)</f>
        <v>0.2645833333</v>
      </c>
      <c r="G323" s="12">
        <f>VLOOKUP(C323,Sleep!C:I,7,FALSE)</f>
        <v>0.6731448763</v>
      </c>
    </row>
    <row r="324">
      <c r="A324" s="4">
        <v>3.977333714E9</v>
      </c>
      <c r="B324" s="5">
        <v>42478.0</v>
      </c>
      <c r="C324" s="4" t="str">
        <f t="shared" si="1"/>
        <v>397733371442478</v>
      </c>
      <c r="D324" s="4">
        <v>11663.0</v>
      </c>
      <c r="E324" s="13" t="str">
        <f t="shared" si="18"/>
        <v>HIGH</v>
      </c>
      <c r="F324" s="16">
        <f>VLOOKUP(C324,Sleep!C:F,4,FALSE)</f>
        <v>0.2861111111</v>
      </c>
      <c r="G324" s="12">
        <f>VLOOKUP(C324,Sleep!C:I,7,FALSE)</f>
        <v>0.7892720307</v>
      </c>
    </row>
    <row r="325">
      <c r="A325" s="4">
        <v>3.977333714E9</v>
      </c>
      <c r="B325" s="5">
        <v>42479.0</v>
      </c>
      <c r="C325" s="4" t="str">
        <f t="shared" si="1"/>
        <v>397733371442479</v>
      </c>
      <c r="D325" s="4">
        <v>12414.0</v>
      </c>
      <c r="E325" s="13" t="str">
        <f t="shared" si="18"/>
        <v>HIGH</v>
      </c>
      <c r="F325" s="16">
        <f>VLOOKUP(C325,Sleep!C:F,4,FALSE)</f>
        <v>0.1520833333</v>
      </c>
      <c r="G325" s="12">
        <f>VLOOKUP(C325,Sleep!C:I,7,FALSE)</f>
        <v>0.5544303797</v>
      </c>
    </row>
    <row r="326">
      <c r="A326" s="4">
        <v>3.977333714E9</v>
      </c>
      <c r="B326" s="5">
        <v>42480.0</v>
      </c>
      <c r="C326" s="4" t="str">
        <f t="shared" si="1"/>
        <v>397733371442480</v>
      </c>
      <c r="D326" s="4">
        <v>11658.0</v>
      </c>
      <c r="E326" s="13" t="str">
        <f t="shared" si="18"/>
        <v>HIGH</v>
      </c>
      <c r="F326" s="16">
        <f>VLOOKUP(C326,Sleep!C:F,4,FALSE)</f>
        <v>0.1055555556</v>
      </c>
      <c r="G326" s="12">
        <f>VLOOKUP(C326,Sleep!C:I,7,FALSE)</f>
        <v>0.4983606557</v>
      </c>
    </row>
    <row r="327">
      <c r="A327" s="4">
        <v>3.977333714E9</v>
      </c>
      <c r="B327" s="5">
        <v>42481.0</v>
      </c>
      <c r="C327" s="4" t="str">
        <f t="shared" si="1"/>
        <v>397733371442481</v>
      </c>
      <c r="D327" s="4">
        <v>6093.0</v>
      </c>
      <c r="E327" s="13" t="str">
        <f t="shared" si="18"/>
        <v>MEDIUM</v>
      </c>
      <c r="F327" s="16">
        <f>VLOOKUP(C327,Sleep!C:F,4,FALSE)</f>
        <v>0.2305555556</v>
      </c>
      <c r="G327" s="12">
        <f>VLOOKUP(C327,Sleep!C:I,7,FALSE)</f>
        <v>0.6484375</v>
      </c>
    </row>
    <row r="328">
      <c r="A328" s="4">
        <v>3.977333714E9</v>
      </c>
      <c r="B328" s="5">
        <v>42482.0</v>
      </c>
      <c r="C328" s="4" t="str">
        <f t="shared" si="1"/>
        <v>397733371442482</v>
      </c>
      <c r="D328" s="4">
        <v>8911.0</v>
      </c>
      <c r="E328" s="13" t="str">
        <f t="shared" si="18"/>
        <v>MEDIUM</v>
      </c>
      <c r="F328" s="16">
        <f>VLOOKUP(C328,Sleep!C:F,4,FALSE)</f>
        <v>0.2465277778</v>
      </c>
      <c r="G328" s="12">
        <f>VLOOKUP(C328,Sleep!C:I,7,FALSE)</f>
        <v>0.7457983193</v>
      </c>
    </row>
    <row r="329">
      <c r="A329" s="4">
        <v>3.977333714E9</v>
      </c>
      <c r="B329" s="5">
        <v>42483.0</v>
      </c>
      <c r="C329" s="4" t="str">
        <f t="shared" si="1"/>
        <v>397733371442483</v>
      </c>
      <c r="D329" s="4">
        <v>12058.0</v>
      </c>
      <c r="E329" s="13" t="str">
        <f t="shared" si="18"/>
        <v>HIGH</v>
      </c>
      <c r="F329" s="16">
        <f>VLOOKUP(C329,Sleep!C:F,4,FALSE)</f>
        <v>0.1631944444</v>
      </c>
      <c r="G329" s="12">
        <f>VLOOKUP(C329,Sleep!C:I,7,FALSE)</f>
        <v>0.6317204301</v>
      </c>
    </row>
    <row r="330">
      <c r="A330" s="4">
        <v>3.977333714E9</v>
      </c>
      <c r="B330" s="5">
        <v>42484.0</v>
      </c>
      <c r="C330" s="4" t="str">
        <f t="shared" si="1"/>
        <v>397733371442484</v>
      </c>
      <c r="D330" s="4">
        <v>14112.0</v>
      </c>
      <c r="E330" s="13" t="str">
        <f t="shared" si="18"/>
        <v>HIGH</v>
      </c>
      <c r="F330" s="16">
        <f>VLOOKUP(C330,Sleep!C:F,4,FALSE)</f>
        <v>0.2152777778</v>
      </c>
      <c r="G330" s="12">
        <f>VLOOKUP(C330,Sleep!C:I,7,FALSE)</f>
        <v>0.5893536122</v>
      </c>
    </row>
    <row r="331">
      <c r="A331" s="4">
        <v>3.977333714E9</v>
      </c>
      <c r="B331" s="5">
        <v>42485.0</v>
      </c>
      <c r="C331" s="4" t="str">
        <f t="shared" si="1"/>
        <v>397733371442485</v>
      </c>
      <c r="D331" s="4">
        <v>11177.0</v>
      </c>
      <c r="E331" s="13" t="str">
        <f t="shared" si="18"/>
        <v>HIGH</v>
      </c>
      <c r="F331" s="16">
        <f>VLOOKUP(C331,Sleep!C:F,4,FALSE)</f>
        <v>0.1819444444</v>
      </c>
      <c r="G331" s="12">
        <f>VLOOKUP(C331,Sleep!C:I,7,FALSE)</f>
        <v>0.5610278373</v>
      </c>
    </row>
    <row r="332">
      <c r="A332" s="4">
        <v>3.977333714E9</v>
      </c>
      <c r="B332" s="5">
        <v>42486.0</v>
      </c>
      <c r="C332" s="4" t="str">
        <f t="shared" si="1"/>
        <v>397733371442486</v>
      </c>
      <c r="D332" s="4">
        <v>11388.0</v>
      </c>
      <c r="E332" s="13" t="str">
        <f t="shared" si="18"/>
        <v>HIGH</v>
      </c>
      <c r="F332" s="16">
        <f>VLOOKUP(C332,Sleep!C:F,4,FALSE)</f>
        <v>0.1736111111</v>
      </c>
      <c r="G332" s="12">
        <f>VLOOKUP(C332,Sleep!C:I,7,FALSE)</f>
        <v>0.6738544474</v>
      </c>
    </row>
    <row r="333">
      <c r="A333" s="4">
        <v>3.977333714E9</v>
      </c>
      <c r="B333" s="5">
        <v>42487.0</v>
      </c>
      <c r="C333" s="4" t="str">
        <f t="shared" si="1"/>
        <v>397733371442487</v>
      </c>
      <c r="D333" s="4">
        <v>7193.0</v>
      </c>
      <c r="E333" s="13" t="str">
        <f t="shared" si="18"/>
        <v>MEDIUM</v>
      </c>
      <c r="F333" s="16">
        <f>VLOOKUP(C333,Sleep!C:F,4,FALSE)</f>
        <v>0.2423611111</v>
      </c>
      <c r="G333" s="12">
        <f>VLOOKUP(C333,Sleep!C:I,7,FALSE)</f>
        <v>0.6462962963</v>
      </c>
    </row>
    <row r="334">
      <c r="A334" s="4">
        <v>3.977333714E9</v>
      </c>
      <c r="B334" s="5">
        <v>42488.0</v>
      </c>
      <c r="C334" s="4" t="str">
        <f t="shared" si="1"/>
        <v>397733371442488</v>
      </c>
      <c r="D334" s="4">
        <v>7114.0</v>
      </c>
      <c r="E334" s="13" t="str">
        <f t="shared" si="18"/>
        <v>MEDIUM</v>
      </c>
      <c r="F334" s="16">
        <f>VLOOKUP(C334,Sleep!C:F,4,FALSE)</f>
        <v>0.18125</v>
      </c>
      <c r="G334" s="12">
        <f>VLOOKUP(C334,Sleep!C:I,7,FALSE)</f>
        <v>0.6170212766</v>
      </c>
    </row>
    <row r="335">
      <c r="A335" s="4">
        <v>3.977333714E9</v>
      </c>
      <c r="B335" s="5">
        <v>42489.0</v>
      </c>
      <c r="C335" s="4" t="str">
        <f t="shared" si="1"/>
        <v>397733371442489</v>
      </c>
      <c r="D335" s="4">
        <v>10645.0</v>
      </c>
      <c r="E335" s="13" t="str">
        <f t="shared" si="18"/>
        <v>HIGH</v>
      </c>
      <c r="F335" s="16">
        <f>VLOOKUP(C335,Sleep!C:F,4,FALSE)</f>
        <v>0.23125</v>
      </c>
      <c r="G335" s="12">
        <f>VLOOKUP(C335,Sleep!C:I,7,FALSE)</f>
        <v>0.6966527197</v>
      </c>
    </row>
    <row r="336">
      <c r="A336" s="4">
        <v>3.977333714E9</v>
      </c>
      <c r="B336" s="5">
        <v>42490.0</v>
      </c>
      <c r="C336" s="4" t="str">
        <f t="shared" si="1"/>
        <v>397733371442490</v>
      </c>
      <c r="D336" s="4">
        <v>13238.0</v>
      </c>
      <c r="E336" s="13" t="str">
        <f t="shared" si="18"/>
        <v>HIGH</v>
      </c>
      <c r="F336" s="16">
        <f>VLOOKUP(C336,Sleep!C:F,4,FALSE)</f>
        <v>0.1645833333</v>
      </c>
      <c r="G336" s="12">
        <f>VLOOKUP(C336,Sleep!C:I,7,FALSE)</f>
        <v>0.6204188482</v>
      </c>
    </row>
    <row r="337">
      <c r="A337" s="4">
        <v>3.977333714E9</v>
      </c>
      <c r="B337" s="5">
        <v>42491.0</v>
      </c>
      <c r="C337" s="4" t="str">
        <f t="shared" si="1"/>
        <v>397733371442491</v>
      </c>
      <c r="D337" s="4">
        <v>10414.0</v>
      </c>
      <c r="E337" s="13" t="str">
        <f t="shared" si="18"/>
        <v>HIGH</v>
      </c>
      <c r="F337" s="16">
        <f>VLOOKUP(C337,Sleep!C:F,4,FALSE)</f>
        <v>0.2659722222</v>
      </c>
      <c r="G337" s="12">
        <f>VLOOKUP(C337,Sleep!C:I,7,FALSE)</f>
        <v>0.6118210863</v>
      </c>
    </row>
    <row r="338">
      <c r="A338" s="4">
        <v>3.977333714E9</v>
      </c>
      <c r="B338" s="5">
        <v>42492.0</v>
      </c>
      <c r="C338" s="4" t="str">
        <f t="shared" si="1"/>
        <v>397733371442492</v>
      </c>
      <c r="D338" s="4">
        <v>16520.0</v>
      </c>
      <c r="E338" s="13" t="str">
        <f t="shared" si="18"/>
        <v>HIGH</v>
      </c>
      <c r="F338" s="16">
        <f>VLOOKUP(C338,Sleep!C:F,4,FALSE)</f>
        <v>0.1597222222</v>
      </c>
      <c r="G338" s="12">
        <f>VLOOKUP(C338,Sleep!C:I,7,FALSE)</f>
        <v>0.5989583333</v>
      </c>
    </row>
    <row r="339">
      <c r="A339" s="4">
        <v>3.977333714E9</v>
      </c>
      <c r="B339" s="5">
        <v>42493.0</v>
      </c>
      <c r="C339" s="4" t="str">
        <f t="shared" si="1"/>
        <v>397733371442493</v>
      </c>
      <c r="D339" s="4">
        <v>14335.0</v>
      </c>
      <c r="E339" s="13" t="str">
        <f t="shared" si="18"/>
        <v>HIGH</v>
      </c>
      <c r="F339" s="16">
        <f>VLOOKUP(C339,Sleep!C:F,4,FALSE)</f>
        <v>0.2027777778</v>
      </c>
      <c r="G339" s="12">
        <f>VLOOKUP(C339,Sleep!C:I,7,FALSE)</f>
        <v>0.584</v>
      </c>
    </row>
    <row r="340">
      <c r="A340" s="4">
        <v>3.977333714E9</v>
      </c>
      <c r="B340" s="5">
        <v>42494.0</v>
      </c>
      <c r="C340" s="4" t="str">
        <f t="shared" si="1"/>
        <v>397733371442494</v>
      </c>
      <c r="D340" s="4">
        <v>13559.0</v>
      </c>
      <c r="E340" s="13" t="str">
        <f t="shared" si="18"/>
        <v>HIGH</v>
      </c>
      <c r="F340" s="16">
        <f>VLOOKUP(C340,Sleep!C:F,4,FALSE)</f>
        <v>0.1479166667</v>
      </c>
      <c r="G340" s="12">
        <f>VLOOKUP(C340,Sleep!C:I,7,FALSE)</f>
        <v>0.6339285714</v>
      </c>
    </row>
    <row r="341">
      <c r="A341" s="4">
        <v>3.977333714E9</v>
      </c>
      <c r="B341" s="5">
        <v>42495.0</v>
      </c>
      <c r="C341" s="4" t="str">
        <f t="shared" si="1"/>
        <v>397733371442495</v>
      </c>
      <c r="D341" s="4">
        <v>12312.0</v>
      </c>
      <c r="E341" s="13" t="str">
        <f t="shared" si="18"/>
        <v>HIGH</v>
      </c>
      <c r="F341" s="16">
        <f>VLOOKUP(C341,Sleep!C:F,4,FALSE)</f>
        <v>0.2208333333</v>
      </c>
      <c r="G341" s="12">
        <f>VLOOKUP(C341,Sleep!C:I,7,FALSE)</f>
        <v>0.6625</v>
      </c>
    </row>
    <row r="342">
      <c r="A342" s="4">
        <v>3.977333714E9</v>
      </c>
      <c r="B342" s="5">
        <v>42496.0</v>
      </c>
      <c r="C342" s="4" t="str">
        <f t="shared" si="1"/>
        <v>397733371442496</v>
      </c>
      <c r="D342" s="4">
        <v>11677.0</v>
      </c>
      <c r="E342" s="13" t="str">
        <f t="shared" si="18"/>
        <v>HIGH</v>
      </c>
      <c r="F342" s="16">
        <f>VLOOKUP(C342,Sleep!C:F,4,FALSE)</f>
        <v>0.2243055556</v>
      </c>
      <c r="G342" s="12">
        <f>VLOOKUP(C342,Sleep!C:I,7,FALSE)</f>
        <v>0.630859375</v>
      </c>
    </row>
    <row r="343">
      <c r="A343" s="4">
        <v>3.977333714E9</v>
      </c>
      <c r="B343" s="5">
        <v>42497.0</v>
      </c>
      <c r="C343" s="4" t="str">
        <f t="shared" si="1"/>
        <v>397733371442497</v>
      </c>
      <c r="D343" s="4">
        <v>11550.0</v>
      </c>
      <c r="E343" s="13" t="str">
        <f t="shared" si="18"/>
        <v>HIGH</v>
      </c>
      <c r="F343" s="16">
        <f>VLOOKUP(C343,Sleep!C:F,4,FALSE)</f>
        <v>0.1645833333</v>
      </c>
      <c r="G343" s="12">
        <f>VLOOKUP(C343,Sleep!C:I,7,FALSE)</f>
        <v>0.5349887133</v>
      </c>
    </row>
    <row r="344">
      <c r="A344" s="4">
        <v>3.977333714E9</v>
      </c>
      <c r="B344" s="5">
        <v>42498.0</v>
      </c>
      <c r="C344" s="4" t="str">
        <f t="shared" si="1"/>
        <v>397733371442498</v>
      </c>
      <c r="D344" s="4">
        <v>13585.0</v>
      </c>
      <c r="E344" s="13" t="str">
        <f t="shared" si="18"/>
        <v>HIGH</v>
      </c>
      <c r="F344" s="16">
        <f>VLOOKUP(C344,Sleep!C:F,4,FALSE)</f>
        <v>0.1798611111</v>
      </c>
      <c r="G344" s="12">
        <f>VLOOKUP(C344,Sleep!C:I,7,FALSE)</f>
        <v>0.5679824561</v>
      </c>
    </row>
    <row r="345" hidden="1">
      <c r="A345" s="4">
        <v>3.977333714E9</v>
      </c>
      <c r="B345" s="5">
        <v>42499.0</v>
      </c>
      <c r="C345" s="4" t="str">
        <f t="shared" si="1"/>
        <v>397733371442499</v>
      </c>
      <c r="D345" s="4">
        <v>14687.0</v>
      </c>
      <c r="E345" s="4"/>
      <c r="F345" s="13" t="str">
        <f>VLOOKUP(C345,Sleep!C:F,4,FALSE)</f>
        <v>#N/A</v>
      </c>
    </row>
    <row r="346">
      <c r="A346" s="4">
        <v>3.977333714E9</v>
      </c>
      <c r="B346" s="5">
        <v>42500.0</v>
      </c>
      <c r="C346" s="4" t="str">
        <f t="shared" si="1"/>
        <v>397733371442500</v>
      </c>
      <c r="D346" s="4">
        <v>13072.0</v>
      </c>
      <c r="E346" s="13" t="str">
        <f>IF(D346&lt;5000, "LOW",IF(D346&lt;10000,"MEDIUM","HIGH"))</f>
        <v>HIGH</v>
      </c>
      <c r="F346" s="16">
        <f>VLOOKUP(C346,Sleep!C:F,4,FALSE)</f>
        <v>0.2166666667</v>
      </c>
      <c r="G346" s="12">
        <f>VLOOKUP(C346,Sleep!C:I,7,FALSE)</f>
        <v>0.6902654867</v>
      </c>
    </row>
    <row r="347" hidden="1">
      <c r="A347" s="4">
        <v>3.977333714E9</v>
      </c>
      <c r="B347" s="5">
        <v>42501.0</v>
      </c>
      <c r="C347" s="4" t="str">
        <f t="shared" si="1"/>
        <v>397733371442501</v>
      </c>
      <c r="D347" s="4">
        <v>746.0</v>
      </c>
      <c r="E347" s="4"/>
      <c r="F347" s="13" t="str">
        <f>VLOOKUP(C347,Sleep!C:F,4,FALSE)</f>
        <v>#N/A</v>
      </c>
    </row>
    <row r="348">
      <c r="A348" s="4">
        <v>4.02033265E9</v>
      </c>
      <c r="B348" s="5">
        <v>42472.0</v>
      </c>
      <c r="C348" s="4" t="str">
        <f t="shared" si="1"/>
        <v>402033265042472</v>
      </c>
      <c r="D348" s="4">
        <v>8539.0</v>
      </c>
      <c r="E348" s="13" t="str">
        <f>IF(D348&lt;5000, "LOW",IF(D348&lt;10000,"MEDIUM","HIGH"))</f>
        <v>MEDIUM</v>
      </c>
      <c r="F348" s="16">
        <f>VLOOKUP(C348,Sleep!C:F,4,FALSE)</f>
        <v>0.3479166667</v>
      </c>
      <c r="G348" s="12">
        <f>VLOOKUP(C348,Sleep!C:I,7,FALSE)</f>
        <v>0.9260628466</v>
      </c>
    </row>
    <row r="349" hidden="1">
      <c r="A349" s="4">
        <v>4.02033265E9</v>
      </c>
      <c r="B349" s="5">
        <v>42473.0</v>
      </c>
      <c r="C349" s="4" t="str">
        <f t="shared" si="1"/>
        <v>402033265042473</v>
      </c>
      <c r="D349" s="4">
        <v>0.0</v>
      </c>
      <c r="E349" s="4"/>
      <c r="F349" s="13" t="str">
        <f>VLOOKUP(C349,Sleep!C:F,4,FALSE)</f>
        <v>#N/A</v>
      </c>
    </row>
    <row r="350" hidden="1">
      <c r="A350" s="4">
        <v>4.02033265E9</v>
      </c>
      <c r="B350" s="5">
        <v>42474.0</v>
      </c>
      <c r="C350" s="4" t="str">
        <f t="shared" si="1"/>
        <v>402033265042474</v>
      </c>
      <c r="D350" s="4">
        <v>108.0</v>
      </c>
      <c r="E350" s="4"/>
      <c r="F350" s="13" t="str">
        <f>VLOOKUP(C350,Sleep!C:F,4,FALSE)</f>
        <v>#N/A</v>
      </c>
    </row>
    <row r="351" hidden="1">
      <c r="A351" s="4">
        <v>4.02033265E9</v>
      </c>
      <c r="B351" s="5">
        <v>42475.0</v>
      </c>
      <c r="C351" s="4" t="str">
        <f t="shared" si="1"/>
        <v>402033265042475</v>
      </c>
      <c r="D351" s="4">
        <v>1882.0</v>
      </c>
      <c r="E351" s="4"/>
      <c r="F351" s="13" t="str">
        <f>VLOOKUP(C351,Sleep!C:F,4,FALSE)</f>
        <v>#N/A</v>
      </c>
    </row>
    <row r="352">
      <c r="A352" s="4">
        <v>4.02033265E9</v>
      </c>
      <c r="B352" s="5">
        <v>42476.0</v>
      </c>
      <c r="C352" s="4" t="str">
        <f t="shared" si="1"/>
        <v>402033265042476</v>
      </c>
      <c r="D352" s="4">
        <v>1982.0</v>
      </c>
      <c r="E352" s="13" t="str">
        <f>IF(D352&lt;5000, "LOW",IF(D352&lt;10000,"MEDIUM","HIGH"))</f>
        <v>LOW</v>
      </c>
      <c r="F352" s="16">
        <f>VLOOKUP(C352,Sleep!C:F,4,FALSE)</f>
        <v>0.05347222222</v>
      </c>
      <c r="G352" s="12">
        <f>VLOOKUP(C352,Sleep!C:I,7,FALSE)</f>
        <v>1</v>
      </c>
    </row>
    <row r="353" hidden="1">
      <c r="A353" s="4">
        <v>4.02033265E9</v>
      </c>
      <c r="B353" s="5">
        <v>42477.0</v>
      </c>
      <c r="C353" s="4" t="str">
        <f t="shared" si="1"/>
        <v>402033265042477</v>
      </c>
      <c r="D353" s="4">
        <v>16.0</v>
      </c>
      <c r="E353" s="4"/>
      <c r="F353" s="13" t="str">
        <f>VLOOKUP(C353,Sleep!C:F,4,FALSE)</f>
        <v>#N/A</v>
      </c>
    </row>
    <row r="354" hidden="1">
      <c r="A354" s="4">
        <v>4.02033265E9</v>
      </c>
      <c r="B354" s="5">
        <v>42478.0</v>
      </c>
      <c r="C354" s="4" t="str">
        <f t="shared" si="1"/>
        <v>402033265042478</v>
      </c>
      <c r="D354" s="4">
        <v>62.0</v>
      </c>
      <c r="E354" s="4"/>
      <c r="F354" s="13" t="str">
        <f>VLOOKUP(C354,Sleep!C:F,4,FALSE)</f>
        <v>#N/A</v>
      </c>
    </row>
    <row r="355" hidden="1">
      <c r="A355" s="4">
        <v>4.02033265E9</v>
      </c>
      <c r="B355" s="5">
        <v>42479.0</v>
      </c>
      <c r="C355" s="4" t="str">
        <f t="shared" si="1"/>
        <v>402033265042479</v>
      </c>
      <c r="D355" s="4">
        <v>0.0</v>
      </c>
      <c r="E355" s="4"/>
      <c r="F355" s="13" t="str">
        <f>VLOOKUP(C355,Sleep!C:F,4,FALSE)</f>
        <v>#N/A</v>
      </c>
    </row>
    <row r="356" hidden="1">
      <c r="A356" s="4">
        <v>4.02033265E9</v>
      </c>
      <c r="B356" s="5">
        <v>42480.0</v>
      </c>
      <c r="C356" s="4" t="str">
        <f t="shared" si="1"/>
        <v>402033265042480</v>
      </c>
      <c r="D356" s="4">
        <v>0.0</v>
      </c>
      <c r="E356" s="4"/>
      <c r="F356" s="13" t="str">
        <f>VLOOKUP(C356,Sleep!C:F,4,FALSE)</f>
        <v>#N/A</v>
      </c>
    </row>
    <row r="357" hidden="1">
      <c r="A357" s="4">
        <v>4.02033265E9</v>
      </c>
      <c r="B357" s="5">
        <v>42481.0</v>
      </c>
      <c r="C357" s="4" t="str">
        <f t="shared" si="1"/>
        <v>402033265042481</v>
      </c>
      <c r="D357" s="4">
        <v>0.0</v>
      </c>
      <c r="E357" s="4"/>
      <c r="F357" s="13" t="str">
        <f>VLOOKUP(C357,Sleep!C:F,4,FALSE)</f>
        <v>#N/A</v>
      </c>
    </row>
    <row r="358" hidden="1">
      <c r="A358" s="4">
        <v>4.02033265E9</v>
      </c>
      <c r="B358" s="5">
        <v>42482.0</v>
      </c>
      <c r="C358" s="4" t="str">
        <f t="shared" si="1"/>
        <v>402033265042482</v>
      </c>
      <c r="D358" s="4">
        <v>0.0</v>
      </c>
      <c r="E358" s="4"/>
      <c r="F358" s="13" t="str">
        <f>VLOOKUP(C358,Sleep!C:F,4,FALSE)</f>
        <v>#N/A</v>
      </c>
    </row>
    <row r="359" hidden="1">
      <c r="A359" s="4">
        <v>4.02033265E9</v>
      </c>
      <c r="B359" s="5">
        <v>42483.0</v>
      </c>
      <c r="C359" s="4" t="str">
        <f t="shared" si="1"/>
        <v>402033265042483</v>
      </c>
      <c r="D359" s="4">
        <v>0.0</v>
      </c>
      <c r="E359" s="4"/>
      <c r="F359" s="13" t="str">
        <f>VLOOKUP(C359,Sleep!C:F,4,FALSE)</f>
        <v>#N/A</v>
      </c>
    </row>
    <row r="360" hidden="1">
      <c r="A360" s="4">
        <v>4.02033265E9</v>
      </c>
      <c r="B360" s="5">
        <v>42484.0</v>
      </c>
      <c r="C360" s="4" t="str">
        <f t="shared" si="1"/>
        <v>402033265042484</v>
      </c>
      <c r="D360" s="4">
        <v>0.0</v>
      </c>
      <c r="E360" s="4"/>
      <c r="F360" s="13" t="str">
        <f>VLOOKUP(C360,Sleep!C:F,4,FALSE)</f>
        <v>#N/A</v>
      </c>
    </row>
    <row r="361" hidden="1">
      <c r="A361" s="4">
        <v>4.02033265E9</v>
      </c>
      <c r="B361" s="5">
        <v>42485.0</v>
      </c>
      <c r="C361" s="4" t="str">
        <f t="shared" si="1"/>
        <v>402033265042485</v>
      </c>
      <c r="D361" s="4">
        <v>0.0</v>
      </c>
      <c r="E361" s="4"/>
      <c r="F361" s="13" t="str">
        <f>VLOOKUP(C361,Sleep!C:F,4,FALSE)</f>
        <v>#N/A</v>
      </c>
    </row>
    <row r="362" hidden="1">
      <c r="A362" s="4">
        <v>4.02033265E9</v>
      </c>
      <c r="B362" s="5">
        <v>42486.0</v>
      </c>
      <c r="C362" s="4" t="str">
        <f t="shared" si="1"/>
        <v>402033265042486</v>
      </c>
      <c r="D362" s="4">
        <v>0.0</v>
      </c>
      <c r="E362" s="4"/>
      <c r="F362" s="13" t="str">
        <f>VLOOKUP(C362,Sleep!C:F,4,FALSE)</f>
        <v>#N/A</v>
      </c>
    </row>
    <row r="363" hidden="1">
      <c r="A363" s="4">
        <v>4.02033265E9</v>
      </c>
      <c r="B363" s="5">
        <v>42487.0</v>
      </c>
      <c r="C363" s="4" t="str">
        <f t="shared" si="1"/>
        <v>402033265042487</v>
      </c>
      <c r="D363" s="4">
        <v>0.0</v>
      </c>
      <c r="E363" s="4"/>
      <c r="F363" s="13" t="str">
        <f>VLOOKUP(C363,Sleep!C:F,4,FALSE)</f>
        <v>#N/A</v>
      </c>
    </row>
    <row r="364" hidden="1">
      <c r="A364" s="4">
        <v>4.02033265E9</v>
      </c>
      <c r="B364" s="5">
        <v>42488.0</v>
      </c>
      <c r="C364" s="4" t="str">
        <f t="shared" si="1"/>
        <v>402033265042488</v>
      </c>
      <c r="D364" s="4">
        <v>0.0</v>
      </c>
      <c r="E364" s="4"/>
      <c r="F364" s="13" t="str">
        <f>VLOOKUP(C364,Sleep!C:F,4,FALSE)</f>
        <v>#N/A</v>
      </c>
    </row>
    <row r="365" hidden="1">
      <c r="A365" s="4">
        <v>4.02033265E9</v>
      </c>
      <c r="B365" s="5">
        <v>42489.0</v>
      </c>
      <c r="C365" s="4" t="str">
        <f t="shared" si="1"/>
        <v>402033265042489</v>
      </c>
      <c r="D365" s="4">
        <v>0.0</v>
      </c>
      <c r="E365" s="4"/>
      <c r="F365" s="13" t="str">
        <f>VLOOKUP(C365,Sleep!C:F,4,FALSE)</f>
        <v>#N/A</v>
      </c>
    </row>
    <row r="366" hidden="1">
      <c r="A366" s="4">
        <v>4.02033265E9</v>
      </c>
      <c r="B366" s="5">
        <v>42490.0</v>
      </c>
      <c r="C366" s="4" t="str">
        <f t="shared" si="1"/>
        <v>402033265042490</v>
      </c>
      <c r="D366" s="4">
        <v>0.0</v>
      </c>
      <c r="E366" s="4"/>
      <c r="F366" s="13" t="str">
        <f>VLOOKUP(C366,Sleep!C:F,4,FALSE)</f>
        <v>#N/A</v>
      </c>
    </row>
    <row r="367" hidden="1">
      <c r="A367" s="4">
        <v>4.02033265E9</v>
      </c>
      <c r="B367" s="5">
        <v>42491.0</v>
      </c>
      <c r="C367" s="4" t="str">
        <f t="shared" si="1"/>
        <v>402033265042491</v>
      </c>
      <c r="D367" s="4">
        <v>0.0</v>
      </c>
      <c r="E367" s="4"/>
      <c r="F367" s="13" t="str">
        <f>VLOOKUP(C367,Sleep!C:F,4,FALSE)</f>
        <v>#N/A</v>
      </c>
    </row>
    <row r="368" hidden="1">
      <c r="A368" s="4">
        <v>4.02033265E9</v>
      </c>
      <c r="B368" s="5">
        <v>42492.0</v>
      </c>
      <c r="C368" s="4" t="str">
        <f t="shared" si="1"/>
        <v>402033265042492</v>
      </c>
      <c r="D368" s="4">
        <v>475.0</v>
      </c>
      <c r="E368" s="4"/>
      <c r="F368" s="13" t="str">
        <f>VLOOKUP(C368,Sleep!C:F,4,FALSE)</f>
        <v>#N/A</v>
      </c>
    </row>
    <row r="369">
      <c r="A369" s="4">
        <v>4.02033265E9</v>
      </c>
      <c r="B369" s="5">
        <v>42493.0</v>
      </c>
      <c r="C369" s="4" t="str">
        <f t="shared" si="1"/>
        <v>402033265042493</v>
      </c>
      <c r="D369" s="4">
        <v>4496.0</v>
      </c>
      <c r="E369" s="13" t="str">
        <f t="shared" ref="E369:E372" si="19">IF(D369&lt;5000, "LOW",IF(D369&lt;10000,"MEDIUM","HIGH"))</f>
        <v>LOW</v>
      </c>
      <c r="F369" s="16">
        <f>VLOOKUP(C369,Sleep!C:F,4,FALSE)</f>
        <v>0.2236111111</v>
      </c>
      <c r="G369" s="12">
        <f>VLOOKUP(C369,Sleep!C:I,7,FALSE)</f>
        <v>0.9698795181</v>
      </c>
    </row>
    <row r="370">
      <c r="A370" s="4">
        <v>4.02033265E9</v>
      </c>
      <c r="B370" s="5">
        <v>42494.0</v>
      </c>
      <c r="C370" s="4" t="str">
        <f t="shared" si="1"/>
        <v>402033265042494</v>
      </c>
      <c r="D370" s="4">
        <v>10252.0</v>
      </c>
      <c r="E370" s="13" t="str">
        <f t="shared" si="19"/>
        <v>HIGH</v>
      </c>
      <c r="F370" s="16">
        <f>VLOOKUP(C370,Sleep!C:F,4,FALSE)</f>
        <v>0.3319444444</v>
      </c>
      <c r="G370" s="12">
        <f>VLOOKUP(C370,Sleep!C:I,7,FALSE)</f>
        <v>0.8917910448</v>
      </c>
    </row>
    <row r="371">
      <c r="A371" s="4">
        <v>4.02033265E9</v>
      </c>
      <c r="B371" s="5">
        <v>42495.0</v>
      </c>
      <c r="C371" s="4" t="str">
        <f t="shared" si="1"/>
        <v>402033265042495</v>
      </c>
      <c r="D371" s="4">
        <v>11728.0</v>
      </c>
      <c r="E371" s="13" t="str">
        <f t="shared" si="19"/>
        <v>HIGH</v>
      </c>
      <c r="F371" s="16">
        <f>VLOOKUP(C371,Sleep!C:F,4,FALSE)</f>
        <v>0.1569444444</v>
      </c>
      <c r="G371" s="12">
        <f>VLOOKUP(C371,Sleep!C:I,7,FALSE)</f>
        <v>0.9112903226</v>
      </c>
    </row>
    <row r="372">
      <c r="A372" s="4">
        <v>4.02033265E9</v>
      </c>
      <c r="B372" s="5">
        <v>42496.0</v>
      </c>
      <c r="C372" s="4" t="str">
        <f t="shared" si="1"/>
        <v>402033265042496</v>
      </c>
      <c r="D372" s="4">
        <v>4369.0</v>
      </c>
      <c r="E372" s="13" t="str">
        <f t="shared" si="19"/>
        <v>LOW</v>
      </c>
      <c r="F372" s="16">
        <f>VLOOKUP(C372,Sleep!C:F,4,FALSE)</f>
        <v>0.2673611111</v>
      </c>
      <c r="G372" s="12">
        <f>VLOOKUP(C372,Sleep!C:I,7,FALSE)</f>
        <v>0.943627451</v>
      </c>
    </row>
    <row r="373" hidden="1">
      <c r="A373" s="4">
        <v>4.02033265E9</v>
      </c>
      <c r="B373" s="5">
        <v>42497.0</v>
      </c>
      <c r="C373" s="4" t="str">
        <f t="shared" si="1"/>
        <v>402033265042497</v>
      </c>
      <c r="D373" s="4">
        <v>6132.0</v>
      </c>
      <c r="E373" s="4"/>
      <c r="F373" s="13" t="str">
        <f>VLOOKUP(C373,Sleep!C:F,4,FALSE)</f>
        <v>#N/A</v>
      </c>
    </row>
    <row r="374">
      <c r="A374" s="4">
        <v>4.02033265E9</v>
      </c>
      <c r="B374" s="5">
        <v>42498.0</v>
      </c>
      <c r="C374" s="4" t="str">
        <f t="shared" si="1"/>
        <v>402033265042498</v>
      </c>
      <c r="D374" s="4">
        <v>5862.0</v>
      </c>
      <c r="E374" s="13" t="str">
        <f>IF(D374&lt;5000, "LOW",IF(D374&lt;10000,"MEDIUM","HIGH"))</f>
        <v>MEDIUM</v>
      </c>
      <c r="F374" s="16">
        <f>VLOOKUP(C374,Sleep!C:F,4,FALSE)</f>
        <v>0.2527777778</v>
      </c>
      <c r="G374" s="12">
        <f>VLOOKUP(C374,Sleep!C:I,7,FALSE)</f>
        <v>0.9054726368</v>
      </c>
    </row>
    <row r="375" hidden="1">
      <c r="A375" s="4">
        <v>4.02033265E9</v>
      </c>
      <c r="B375" s="5">
        <v>42499.0</v>
      </c>
      <c r="C375" s="4" t="str">
        <f t="shared" si="1"/>
        <v>402033265042499</v>
      </c>
      <c r="D375" s="4">
        <v>4556.0</v>
      </c>
      <c r="E375" s="4"/>
      <c r="F375" s="13" t="str">
        <f>VLOOKUP(C375,Sleep!C:F,4,FALSE)</f>
        <v>#N/A</v>
      </c>
    </row>
    <row r="376">
      <c r="A376" s="4">
        <v>4.02033265E9</v>
      </c>
      <c r="B376" s="5">
        <v>42500.0</v>
      </c>
      <c r="C376" s="4" t="str">
        <f t="shared" si="1"/>
        <v>402033265042500</v>
      </c>
      <c r="D376" s="4">
        <v>5546.0</v>
      </c>
      <c r="E376" s="13" t="str">
        <f>IF(D376&lt;5000, "LOW",IF(D376&lt;10000,"MEDIUM","HIGH"))</f>
        <v>MEDIUM</v>
      </c>
      <c r="F376" s="16">
        <f>VLOOKUP(C376,Sleep!C:F,4,FALSE)</f>
        <v>0.3069444444</v>
      </c>
      <c r="G376" s="12">
        <f>VLOOKUP(C376,Sleep!C:I,7,FALSE)</f>
        <v>0.8947368421</v>
      </c>
    </row>
    <row r="377" hidden="1">
      <c r="A377" s="4">
        <v>4.02033265E9</v>
      </c>
      <c r="B377" s="5">
        <v>42501.0</v>
      </c>
      <c r="C377" s="4" t="str">
        <f t="shared" si="1"/>
        <v>402033265042501</v>
      </c>
      <c r="D377" s="4">
        <v>3689.0</v>
      </c>
      <c r="E377" s="4"/>
      <c r="F377" s="13" t="str">
        <f>VLOOKUP(C377,Sleep!C:F,4,FALSE)</f>
        <v>#N/A</v>
      </c>
    </row>
    <row r="378" hidden="1">
      <c r="A378" s="4">
        <v>4.02033265E9</v>
      </c>
      <c r="B378" s="5">
        <v>42502.0</v>
      </c>
      <c r="C378" s="4" t="str">
        <f t="shared" si="1"/>
        <v>402033265042502</v>
      </c>
      <c r="D378" s="4">
        <v>590.0</v>
      </c>
      <c r="E378" s="4"/>
      <c r="F378" s="13" t="str">
        <f>VLOOKUP(C378,Sleep!C:F,4,FALSE)</f>
        <v>#N/A</v>
      </c>
    </row>
    <row r="379" hidden="1">
      <c r="A379" s="4">
        <v>4.057192912E9</v>
      </c>
      <c r="B379" s="5">
        <v>42472.0</v>
      </c>
      <c r="C379" s="4" t="str">
        <f t="shared" si="1"/>
        <v>405719291242472</v>
      </c>
      <c r="D379" s="4">
        <v>5394.0</v>
      </c>
      <c r="E379" s="4"/>
      <c r="F379" s="13" t="str">
        <f>VLOOKUP(C379,Sleep!C:F,4,FALSE)</f>
        <v>#N/A</v>
      </c>
    </row>
    <row r="380" hidden="1">
      <c r="A380" s="4">
        <v>4.057192912E9</v>
      </c>
      <c r="B380" s="5">
        <v>42473.0</v>
      </c>
      <c r="C380" s="4" t="str">
        <f t="shared" si="1"/>
        <v>405719291242473</v>
      </c>
      <c r="D380" s="4">
        <v>5974.0</v>
      </c>
      <c r="E380" s="4"/>
      <c r="F380" s="13" t="str">
        <f>VLOOKUP(C380,Sleep!C:F,4,FALSE)</f>
        <v>#N/A</v>
      </c>
    </row>
    <row r="381" hidden="1">
      <c r="A381" s="4">
        <v>4.057192912E9</v>
      </c>
      <c r="B381" s="5">
        <v>42474.0</v>
      </c>
      <c r="C381" s="4" t="str">
        <f t="shared" si="1"/>
        <v>405719291242474</v>
      </c>
      <c r="D381" s="4">
        <v>0.0</v>
      </c>
      <c r="E381" s="4"/>
      <c r="F381" s="13" t="str">
        <f>VLOOKUP(C381,Sleep!C:F,4,FALSE)</f>
        <v>#N/A</v>
      </c>
    </row>
    <row r="382" hidden="1">
      <c r="A382" s="4">
        <v>4.057192912E9</v>
      </c>
      <c r="B382" s="5">
        <v>42475.0</v>
      </c>
      <c r="C382" s="4" t="str">
        <f t="shared" si="1"/>
        <v>405719291242475</v>
      </c>
      <c r="D382" s="4">
        <v>3984.0</v>
      </c>
      <c r="E382" s="4"/>
      <c r="F382" s="13" t="str">
        <f>VLOOKUP(C382,Sleep!C:F,4,FALSE)</f>
        <v>#N/A</v>
      </c>
    </row>
    <row r="383" hidden="1">
      <c r="A383" s="4">
        <v>4.319703577E9</v>
      </c>
      <c r="B383" s="5">
        <v>42472.0</v>
      </c>
      <c r="C383" s="4" t="str">
        <f t="shared" si="1"/>
        <v>431970357742472</v>
      </c>
      <c r="D383" s="4">
        <v>7753.0</v>
      </c>
      <c r="E383" s="4"/>
      <c r="F383" s="13" t="str">
        <f>VLOOKUP(C383,Sleep!C:F,4,FALSE)</f>
        <v>#N/A</v>
      </c>
    </row>
    <row r="384" hidden="1">
      <c r="A384" s="4">
        <v>4.319703577E9</v>
      </c>
      <c r="B384" s="5">
        <v>42473.0</v>
      </c>
      <c r="C384" s="4" t="str">
        <f t="shared" si="1"/>
        <v>431970357742473</v>
      </c>
      <c r="D384" s="4">
        <v>8204.0</v>
      </c>
      <c r="E384" s="4"/>
      <c r="F384" s="13" t="str">
        <f>VLOOKUP(C384,Sleep!C:F,4,FALSE)</f>
        <v>#N/A</v>
      </c>
    </row>
    <row r="385">
      <c r="A385" s="4">
        <v>4.319703577E9</v>
      </c>
      <c r="B385" s="5">
        <v>42474.0</v>
      </c>
      <c r="C385" s="4" t="str">
        <f t="shared" si="1"/>
        <v>431970357742474</v>
      </c>
      <c r="D385" s="4">
        <v>10210.0</v>
      </c>
      <c r="E385" s="13" t="str">
        <f t="shared" ref="E385:E387" si="20">IF(D385&lt;5000, "LOW",IF(D385&lt;10000,"MEDIUM","HIGH"))</f>
        <v>HIGH</v>
      </c>
      <c r="F385" s="16">
        <f>VLOOKUP(C385,Sleep!C:F,4,FALSE)</f>
        <v>0.3715277778</v>
      </c>
      <c r="G385" s="12">
        <f>VLOOKUP(C385,Sleep!C:I,7,FALSE)</f>
        <v>0.960502693</v>
      </c>
    </row>
    <row r="386">
      <c r="A386" s="4">
        <v>4.319703577E9</v>
      </c>
      <c r="B386" s="5">
        <v>42475.0</v>
      </c>
      <c r="C386" s="4" t="str">
        <f t="shared" si="1"/>
        <v>431970357742475</v>
      </c>
      <c r="D386" s="4">
        <v>5664.0</v>
      </c>
      <c r="E386" s="13" t="str">
        <f t="shared" si="20"/>
        <v>MEDIUM</v>
      </c>
      <c r="F386" s="16">
        <f>VLOOKUP(C386,Sleep!C:F,4,FALSE)</f>
        <v>0.3229166667</v>
      </c>
      <c r="G386" s="12">
        <f>VLOOKUP(C386,Sleep!C:I,7,FALSE)</f>
        <v>0.9470468432</v>
      </c>
    </row>
    <row r="387">
      <c r="A387" s="4">
        <v>4.319703577E9</v>
      </c>
      <c r="B387" s="5">
        <v>42476.0</v>
      </c>
      <c r="C387" s="4" t="str">
        <f t="shared" si="1"/>
        <v>431970357742476</v>
      </c>
      <c r="D387" s="4">
        <v>4744.0</v>
      </c>
      <c r="E387" s="13" t="str">
        <f t="shared" si="20"/>
        <v>LOW</v>
      </c>
      <c r="F387" s="16">
        <f>VLOOKUP(C387,Sleep!C:F,4,FALSE)</f>
        <v>0.3513888889</v>
      </c>
      <c r="G387" s="12">
        <f>VLOOKUP(C387,Sleep!C:I,7,FALSE)</f>
        <v>0.969348659</v>
      </c>
    </row>
    <row r="388" hidden="1">
      <c r="A388" s="4">
        <v>4.319703577E9</v>
      </c>
      <c r="B388" s="5">
        <v>42477.0</v>
      </c>
      <c r="C388" s="4" t="str">
        <f t="shared" si="1"/>
        <v>431970357742477</v>
      </c>
      <c r="D388" s="4">
        <v>29.0</v>
      </c>
      <c r="E388" s="4"/>
      <c r="F388" s="13" t="str">
        <f>VLOOKUP(C388,Sleep!C:F,4,FALSE)</f>
        <v>#N/A</v>
      </c>
    </row>
    <row r="389">
      <c r="A389" s="4">
        <v>4.319703577E9</v>
      </c>
      <c r="B389" s="5">
        <v>42478.0</v>
      </c>
      <c r="C389" s="4" t="str">
        <f t="shared" si="1"/>
        <v>431970357742478</v>
      </c>
      <c r="D389" s="4">
        <v>2276.0</v>
      </c>
      <c r="E389" s="13" t="str">
        <f t="shared" ref="E389:E404" si="21">IF(D389&lt;5000, "LOW",IF(D389&lt;10000,"MEDIUM","HIGH"))</f>
        <v>LOW</v>
      </c>
      <c r="F389" s="16">
        <f>VLOOKUP(C389,Sleep!C:F,4,FALSE)</f>
        <v>0.3576388889</v>
      </c>
      <c r="G389" s="12">
        <f>VLOOKUP(C389,Sleep!C:I,7,FALSE)</f>
        <v>0.9346642468</v>
      </c>
    </row>
    <row r="390">
      <c r="A390" s="4">
        <v>4.319703577E9</v>
      </c>
      <c r="B390" s="5">
        <v>42479.0</v>
      </c>
      <c r="C390" s="4" t="str">
        <f t="shared" si="1"/>
        <v>431970357742479</v>
      </c>
      <c r="D390" s="4">
        <v>8925.0</v>
      </c>
      <c r="E390" s="13" t="str">
        <f t="shared" si="21"/>
        <v>MEDIUM</v>
      </c>
      <c r="F390" s="16">
        <f>VLOOKUP(C390,Sleep!C:F,4,FALSE)</f>
        <v>0.3201388889</v>
      </c>
      <c r="G390" s="12">
        <f>VLOOKUP(C390,Sleep!C:I,7,FALSE)</f>
        <v>0.9257028112</v>
      </c>
    </row>
    <row r="391">
      <c r="A391" s="4">
        <v>4.319703577E9</v>
      </c>
      <c r="B391" s="5">
        <v>42480.0</v>
      </c>
      <c r="C391" s="4" t="str">
        <f t="shared" si="1"/>
        <v>431970357742480</v>
      </c>
      <c r="D391" s="4">
        <v>8954.0</v>
      </c>
      <c r="E391" s="13" t="str">
        <f t="shared" si="21"/>
        <v>MEDIUM</v>
      </c>
      <c r="F391" s="16">
        <f>VLOOKUP(C391,Sleep!C:F,4,FALSE)</f>
        <v>0.3631944444</v>
      </c>
      <c r="G391" s="12">
        <f>VLOOKUP(C391,Sleep!C:I,7,FALSE)</f>
        <v>0.9631675875</v>
      </c>
    </row>
    <row r="392">
      <c r="A392" s="4">
        <v>4.319703577E9</v>
      </c>
      <c r="B392" s="5">
        <v>42481.0</v>
      </c>
      <c r="C392" s="4" t="str">
        <f t="shared" si="1"/>
        <v>431970357742481</v>
      </c>
      <c r="D392" s="4">
        <v>3702.0</v>
      </c>
      <c r="E392" s="13" t="str">
        <f t="shared" si="21"/>
        <v>LOW</v>
      </c>
      <c r="F392" s="16">
        <f>VLOOKUP(C392,Sleep!C:F,4,FALSE)</f>
        <v>0.04097222222</v>
      </c>
      <c r="G392" s="12">
        <f>VLOOKUP(C392,Sleep!C:I,7,FALSE)</f>
        <v>0.9076923077</v>
      </c>
    </row>
    <row r="393">
      <c r="A393" s="4">
        <v>4.319703577E9</v>
      </c>
      <c r="B393" s="5">
        <v>42482.0</v>
      </c>
      <c r="C393" s="4" t="str">
        <f t="shared" si="1"/>
        <v>431970357742482</v>
      </c>
      <c r="D393" s="4">
        <v>4500.0</v>
      </c>
      <c r="E393" s="13" t="str">
        <f t="shared" si="21"/>
        <v>LOW</v>
      </c>
      <c r="F393" s="16">
        <f>VLOOKUP(C393,Sleep!C:F,4,FALSE)</f>
        <v>0.3701388889</v>
      </c>
      <c r="G393" s="12">
        <f>VLOOKUP(C393,Sleep!C:I,7,FALSE)</f>
        <v>0.9690909091</v>
      </c>
    </row>
    <row r="394">
      <c r="A394" s="4">
        <v>4.319703577E9</v>
      </c>
      <c r="B394" s="5">
        <v>42483.0</v>
      </c>
      <c r="C394" s="4" t="str">
        <f t="shared" si="1"/>
        <v>431970357742483</v>
      </c>
      <c r="D394" s="4">
        <v>4935.0</v>
      </c>
      <c r="E394" s="13" t="str">
        <f t="shared" si="21"/>
        <v>LOW</v>
      </c>
      <c r="F394" s="16">
        <f>VLOOKUP(C394,Sleep!C:F,4,FALSE)</f>
        <v>0.4805555556</v>
      </c>
      <c r="G394" s="12">
        <f>VLOOKUP(C394,Sleep!C:I,7,FALSE)</f>
        <v>0.9584487535</v>
      </c>
    </row>
    <row r="395">
      <c r="A395" s="4">
        <v>4.319703577E9</v>
      </c>
      <c r="B395" s="5">
        <v>42484.0</v>
      </c>
      <c r="C395" s="4" t="str">
        <f t="shared" si="1"/>
        <v>431970357742484</v>
      </c>
      <c r="D395" s="4">
        <v>4081.0</v>
      </c>
      <c r="E395" s="13" t="str">
        <f t="shared" si="21"/>
        <v>LOW</v>
      </c>
      <c r="F395" s="16">
        <f>VLOOKUP(C395,Sleep!C:F,4,FALSE)</f>
        <v>0.3243055556</v>
      </c>
      <c r="G395" s="12">
        <f>VLOOKUP(C395,Sleep!C:I,7,FALSE)</f>
        <v>0.9321357285</v>
      </c>
    </row>
    <row r="396">
      <c r="A396" s="4">
        <v>4.319703577E9</v>
      </c>
      <c r="B396" s="5">
        <v>42485.0</v>
      </c>
      <c r="C396" s="4" t="str">
        <f t="shared" si="1"/>
        <v>431970357742485</v>
      </c>
      <c r="D396" s="4">
        <v>9259.0</v>
      </c>
      <c r="E396" s="13" t="str">
        <f t="shared" si="21"/>
        <v>MEDIUM</v>
      </c>
      <c r="F396" s="16">
        <f>VLOOKUP(C396,Sleep!C:F,4,FALSE)</f>
        <v>0.3388888889</v>
      </c>
      <c r="G396" s="12">
        <f>VLOOKUP(C396,Sleep!C:I,7,FALSE)</f>
        <v>0.9644268775</v>
      </c>
    </row>
    <row r="397">
      <c r="A397" s="4">
        <v>4.319703577E9</v>
      </c>
      <c r="B397" s="5">
        <v>42486.0</v>
      </c>
      <c r="C397" s="4" t="str">
        <f t="shared" si="1"/>
        <v>431970357742486</v>
      </c>
      <c r="D397" s="4">
        <v>9899.0</v>
      </c>
      <c r="E397" s="13" t="str">
        <f t="shared" si="21"/>
        <v>MEDIUM</v>
      </c>
      <c r="F397" s="16">
        <f>VLOOKUP(C397,Sleep!C:F,4,FALSE)</f>
        <v>0.3506944444</v>
      </c>
      <c r="G397" s="12">
        <f>VLOOKUP(C397,Sleep!C:I,7,FALSE)</f>
        <v>0.9786821705</v>
      </c>
    </row>
    <row r="398">
      <c r="A398" s="4">
        <v>4.319703577E9</v>
      </c>
      <c r="B398" s="5">
        <v>42487.0</v>
      </c>
      <c r="C398" s="4" t="str">
        <f t="shared" si="1"/>
        <v>431970357742487</v>
      </c>
      <c r="D398" s="4">
        <v>10780.0</v>
      </c>
      <c r="E398" s="13" t="str">
        <f t="shared" si="21"/>
        <v>HIGH</v>
      </c>
      <c r="F398" s="16">
        <f>VLOOKUP(C398,Sleep!C:F,4,FALSE)</f>
        <v>0.1986111111</v>
      </c>
      <c r="G398" s="12">
        <f>VLOOKUP(C398,Sleep!C:I,7,FALSE)</f>
        <v>0.9315960912</v>
      </c>
    </row>
    <row r="399">
      <c r="A399" s="4">
        <v>4.319703577E9</v>
      </c>
      <c r="B399" s="5">
        <v>42488.0</v>
      </c>
      <c r="C399" s="4" t="str">
        <f t="shared" si="1"/>
        <v>431970357742488</v>
      </c>
      <c r="D399" s="4">
        <v>10817.0</v>
      </c>
      <c r="E399" s="13" t="str">
        <f t="shared" si="21"/>
        <v>HIGH</v>
      </c>
      <c r="F399" s="16">
        <f>VLOOKUP(C399,Sleep!C:F,4,FALSE)</f>
        <v>0.3451388889</v>
      </c>
      <c r="G399" s="12">
        <f>VLOOKUP(C399,Sleep!C:I,7,FALSE)</f>
        <v>0.9521072797</v>
      </c>
    </row>
    <row r="400">
      <c r="A400" s="4">
        <v>4.319703577E9</v>
      </c>
      <c r="B400" s="5">
        <v>42489.0</v>
      </c>
      <c r="C400" s="4" t="str">
        <f t="shared" si="1"/>
        <v>431970357742489</v>
      </c>
      <c r="D400" s="4">
        <v>7990.0</v>
      </c>
      <c r="E400" s="13" t="str">
        <f t="shared" si="21"/>
        <v>MEDIUM</v>
      </c>
      <c r="F400" s="16">
        <f>VLOOKUP(C400,Sleep!C:F,4,FALSE)</f>
        <v>0.3631944444</v>
      </c>
      <c r="G400" s="12">
        <f>VLOOKUP(C400,Sleep!C:I,7,FALSE)</f>
        <v>0.9578754579</v>
      </c>
    </row>
    <row r="401">
      <c r="A401" s="4">
        <v>4.319703577E9</v>
      </c>
      <c r="B401" s="5">
        <v>42490.0</v>
      </c>
      <c r="C401" s="4" t="str">
        <f t="shared" si="1"/>
        <v>431970357742490</v>
      </c>
      <c r="D401" s="4">
        <v>8221.0</v>
      </c>
      <c r="E401" s="13" t="str">
        <f t="shared" si="21"/>
        <v>MEDIUM</v>
      </c>
      <c r="F401" s="16">
        <f>VLOOKUP(C401,Sleep!C:F,4,FALSE)</f>
        <v>0.3402777778</v>
      </c>
      <c r="G401" s="12">
        <f>VLOOKUP(C401,Sleep!C:I,7,FALSE)</f>
        <v>0.9496124031</v>
      </c>
    </row>
    <row r="402">
      <c r="A402" s="4">
        <v>4.319703577E9</v>
      </c>
      <c r="B402" s="5">
        <v>42491.0</v>
      </c>
      <c r="C402" s="4" t="str">
        <f t="shared" si="1"/>
        <v>431970357742491</v>
      </c>
      <c r="D402" s="4">
        <v>1251.0</v>
      </c>
      <c r="E402" s="13" t="str">
        <f t="shared" si="21"/>
        <v>LOW</v>
      </c>
      <c r="F402" s="16">
        <f>VLOOKUP(C402,Sleep!C:F,4,FALSE)</f>
        <v>0.3361111111</v>
      </c>
      <c r="G402" s="12">
        <f>VLOOKUP(C402,Sleep!C:I,7,FALSE)</f>
        <v>0.968</v>
      </c>
    </row>
    <row r="403">
      <c r="A403" s="4">
        <v>4.319703577E9</v>
      </c>
      <c r="B403" s="5">
        <v>42492.0</v>
      </c>
      <c r="C403" s="4" t="str">
        <f t="shared" si="1"/>
        <v>431970357742492</v>
      </c>
      <c r="D403" s="4">
        <v>9261.0</v>
      </c>
      <c r="E403" s="13" t="str">
        <f t="shared" si="21"/>
        <v>MEDIUM</v>
      </c>
      <c r="F403" s="16">
        <f>VLOOKUP(C403,Sleep!C:F,4,FALSE)</f>
        <v>0.3319444444</v>
      </c>
      <c r="G403" s="12">
        <f>VLOOKUP(C403,Sleep!C:I,7,FALSE)</f>
        <v>0.9446640316</v>
      </c>
    </row>
    <row r="404">
      <c r="A404" s="4">
        <v>4.319703577E9</v>
      </c>
      <c r="B404" s="5">
        <v>42493.0</v>
      </c>
      <c r="C404" s="4" t="str">
        <f t="shared" si="1"/>
        <v>431970357742493</v>
      </c>
      <c r="D404" s="4">
        <v>9648.0</v>
      </c>
      <c r="E404" s="13" t="str">
        <f t="shared" si="21"/>
        <v>MEDIUM</v>
      </c>
      <c r="F404" s="16">
        <f>VLOOKUP(C404,Sleep!C:F,4,FALSE)</f>
        <v>0.3291666667</v>
      </c>
      <c r="G404" s="12">
        <f>VLOOKUP(C404,Sleep!C:I,7,FALSE)</f>
        <v>0.92578125</v>
      </c>
    </row>
    <row r="405" hidden="1">
      <c r="A405" s="4">
        <v>4.319703577E9</v>
      </c>
      <c r="B405" s="5">
        <v>42494.0</v>
      </c>
      <c r="C405" s="4" t="str">
        <f t="shared" si="1"/>
        <v>431970357742494</v>
      </c>
      <c r="D405" s="4">
        <v>10429.0</v>
      </c>
      <c r="E405" s="4"/>
      <c r="F405" s="13" t="str">
        <f>VLOOKUP(C405,Sleep!C:F,4,FALSE)</f>
        <v>#N/A</v>
      </c>
    </row>
    <row r="406" hidden="1">
      <c r="A406" s="4">
        <v>4.319703577E9</v>
      </c>
      <c r="B406" s="5">
        <v>42495.0</v>
      </c>
      <c r="C406" s="4" t="str">
        <f t="shared" si="1"/>
        <v>431970357742495</v>
      </c>
      <c r="D406" s="4">
        <v>13658.0</v>
      </c>
      <c r="E406" s="4"/>
      <c r="F406" s="13" t="str">
        <f>VLOOKUP(C406,Sleep!C:F,4,FALSE)</f>
        <v>#N/A</v>
      </c>
    </row>
    <row r="407">
      <c r="A407" s="4">
        <v>4.319703577E9</v>
      </c>
      <c r="B407" s="5">
        <v>42496.0</v>
      </c>
      <c r="C407" s="4" t="str">
        <f t="shared" si="1"/>
        <v>431970357742496</v>
      </c>
      <c r="D407" s="4">
        <v>9524.0</v>
      </c>
      <c r="E407" s="13" t="str">
        <f t="shared" ref="E407:E413" si="22">IF(D407&lt;5000, "LOW",IF(D407&lt;10000,"MEDIUM","HIGH"))</f>
        <v>MEDIUM</v>
      </c>
      <c r="F407" s="16">
        <f>VLOOKUP(C407,Sleep!C:F,4,FALSE)</f>
        <v>0.3125</v>
      </c>
      <c r="G407" s="12">
        <f>VLOOKUP(C407,Sleep!C:I,7,FALSE)</f>
        <v>0.916496945</v>
      </c>
    </row>
    <row r="408">
      <c r="A408" s="4">
        <v>4.319703577E9</v>
      </c>
      <c r="B408" s="5">
        <v>42497.0</v>
      </c>
      <c r="C408" s="4" t="str">
        <f t="shared" si="1"/>
        <v>431970357742497</v>
      </c>
      <c r="D408" s="4">
        <v>7937.0</v>
      </c>
      <c r="E408" s="13" t="str">
        <f t="shared" si="22"/>
        <v>MEDIUM</v>
      </c>
      <c r="F408" s="16">
        <f>VLOOKUP(C408,Sleep!C:F,4,FALSE)</f>
        <v>0.3520833333</v>
      </c>
      <c r="G408" s="12">
        <f>VLOOKUP(C408,Sleep!C:I,7,FALSE)</f>
        <v>0.9566037736</v>
      </c>
    </row>
    <row r="409">
      <c r="A409" s="4">
        <v>4.319703577E9</v>
      </c>
      <c r="B409" s="5">
        <v>42498.0</v>
      </c>
      <c r="C409" s="4" t="str">
        <f t="shared" si="1"/>
        <v>431970357742498</v>
      </c>
      <c r="D409" s="4">
        <v>3672.0</v>
      </c>
      <c r="E409" s="13" t="str">
        <f t="shared" si="22"/>
        <v>LOW</v>
      </c>
      <c r="F409" s="16">
        <f>VLOOKUP(C409,Sleep!C:F,4,FALSE)</f>
        <v>0.4180555556</v>
      </c>
      <c r="G409" s="12">
        <f>VLOOKUP(C409,Sleep!C:I,7,FALSE)</f>
        <v>0.9435736677</v>
      </c>
    </row>
    <row r="410">
      <c r="A410" s="4">
        <v>4.319703577E9</v>
      </c>
      <c r="B410" s="5">
        <v>42499.0</v>
      </c>
      <c r="C410" s="4" t="str">
        <f t="shared" si="1"/>
        <v>431970357742499</v>
      </c>
      <c r="D410" s="4">
        <v>10378.0</v>
      </c>
      <c r="E410" s="13" t="str">
        <f t="shared" si="22"/>
        <v>HIGH</v>
      </c>
      <c r="F410" s="16">
        <f>VLOOKUP(C410,Sleep!C:F,4,FALSE)</f>
        <v>0.3715277778</v>
      </c>
      <c r="G410" s="12">
        <f>VLOOKUP(C410,Sleep!C:I,7,FALSE)</f>
        <v>0.9469026549</v>
      </c>
    </row>
    <row r="411">
      <c r="A411" s="4">
        <v>4.319703577E9</v>
      </c>
      <c r="B411" s="5">
        <v>42500.0</v>
      </c>
      <c r="C411" s="4" t="str">
        <f t="shared" si="1"/>
        <v>431970357742500</v>
      </c>
      <c r="D411" s="4">
        <v>9487.0</v>
      </c>
      <c r="E411" s="13" t="str">
        <f t="shared" si="22"/>
        <v>MEDIUM</v>
      </c>
      <c r="F411" s="16">
        <f>VLOOKUP(C411,Sleep!C:F,4,FALSE)</f>
        <v>0.3381944444</v>
      </c>
      <c r="G411" s="12">
        <f>VLOOKUP(C411,Sleep!C:I,7,FALSE)</f>
        <v>0.9419729207</v>
      </c>
    </row>
    <row r="412">
      <c r="A412" s="4">
        <v>4.319703577E9</v>
      </c>
      <c r="B412" s="5">
        <v>42501.0</v>
      </c>
      <c r="C412" s="4" t="str">
        <f t="shared" si="1"/>
        <v>431970357742501</v>
      </c>
      <c r="D412" s="4">
        <v>9129.0</v>
      </c>
      <c r="E412" s="13" t="str">
        <f t="shared" si="22"/>
        <v>MEDIUM</v>
      </c>
      <c r="F412" s="16">
        <f>VLOOKUP(C412,Sleep!C:F,4,FALSE)</f>
        <v>0.3673611111</v>
      </c>
      <c r="G412" s="12">
        <f>VLOOKUP(C412,Sleep!C:I,7,FALSE)</f>
        <v>0.9480286738</v>
      </c>
    </row>
    <row r="413">
      <c r="A413" s="4">
        <v>4.319703577E9</v>
      </c>
      <c r="B413" s="5">
        <v>42502.0</v>
      </c>
      <c r="C413" s="4" t="str">
        <f t="shared" si="1"/>
        <v>431970357742502</v>
      </c>
      <c r="D413" s="4">
        <v>17.0</v>
      </c>
      <c r="E413" s="13" t="str">
        <f t="shared" si="22"/>
        <v>LOW</v>
      </c>
      <c r="F413" s="16">
        <f>VLOOKUP(C413,Sleep!C:F,4,FALSE)</f>
        <v>0.2097222222</v>
      </c>
      <c r="G413" s="12">
        <f>VLOOKUP(C413,Sleep!C:I,7,FALSE)</f>
        <v>0.9408099688</v>
      </c>
    </row>
    <row r="414" hidden="1">
      <c r="A414" s="4">
        <v>4.388161847E9</v>
      </c>
      <c r="B414" s="5">
        <v>42472.0</v>
      </c>
      <c r="C414" s="4" t="str">
        <f t="shared" si="1"/>
        <v>438816184742472</v>
      </c>
      <c r="D414" s="4">
        <v>10122.0</v>
      </c>
      <c r="E414" s="4"/>
      <c r="F414" s="13" t="str">
        <f>VLOOKUP(C414,Sleep!C:F,4,FALSE)</f>
        <v>#N/A</v>
      </c>
    </row>
    <row r="415" hidden="1">
      <c r="A415" s="4">
        <v>4.388161847E9</v>
      </c>
      <c r="B415" s="5">
        <v>42473.0</v>
      </c>
      <c r="C415" s="4" t="str">
        <f t="shared" si="1"/>
        <v>438816184742473</v>
      </c>
      <c r="D415" s="4">
        <v>10993.0</v>
      </c>
      <c r="E415" s="4"/>
      <c r="F415" s="13" t="str">
        <f>VLOOKUP(C415,Sleep!C:F,4,FALSE)</f>
        <v>#N/A</v>
      </c>
    </row>
    <row r="416" hidden="1">
      <c r="A416" s="4">
        <v>4.388161847E9</v>
      </c>
      <c r="B416" s="5">
        <v>42474.0</v>
      </c>
      <c r="C416" s="4" t="str">
        <f t="shared" si="1"/>
        <v>438816184742474</v>
      </c>
      <c r="D416" s="4">
        <v>8863.0</v>
      </c>
      <c r="E416" s="4"/>
      <c r="F416" s="13" t="str">
        <f>VLOOKUP(C416,Sleep!C:F,4,FALSE)</f>
        <v>#N/A</v>
      </c>
    </row>
    <row r="417">
      <c r="A417" s="4">
        <v>4.388161847E9</v>
      </c>
      <c r="B417" s="5">
        <v>42475.0</v>
      </c>
      <c r="C417" s="4" t="str">
        <f t="shared" si="1"/>
        <v>438816184742475</v>
      </c>
      <c r="D417" s="4">
        <v>8758.0</v>
      </c>
      <c r="E417" s="13" t="str">
        <f t="shared" ref="E417:E426" si="23">IF(D417&lt;5000, "LOW",IF(D417&lt;10000,"MEDIUM","HIGH"))</f>
        <v>MEDIUM</v>
      </c>
      <c r="F417" s="16">
        <f>VLOOKUP(C417,Sleep!C:F,4,FALSE)</f>
        <v>0.3465277778</v>
      </c>
      <c r="G417" s="12">
        <f>VLOOKUP(C417,Sleep!C:I,7,FALSE)</f>
        <v>0.9486692015</v>
      </c>
    </row>
    <row r="418">
      <c r="A418" s="4">
        <v>4.388161847E9</v>
      </c>
      <c r="B418" s="5">
        <v>42476.0</v>
      </c>
      <c r="C418" s="4" t="str">
        <f t="shared" si="1"/>
        <v>438816184742476</v>
      </c>
      <c r="D418" s="4">
        <v>6580.0</v>
      </c>
      <c r="E418" s="13" t="str">
        <f t="shared" si="23"/>
        <v>MEDIUM</v>
      </c>
      <c r="F418" s="16">
        <f>VLOOKUP(C418,Sleep!C:F,4,FALSE)</f>
        <v>0.2958333333</v>
      </c>
      <c r="G418" s="12">
        <f>VLOOKUP(C418,Sleep!C:I,7,FALSE)</f>
        <v>0.9508928571</v>
      </c>
    </row>
    <row r="419">
      <c r="A419" s="4">
        <v>4.388161847E9</v>
      </c>
      <c r="B419" s="5">
        <v>42477.0</v>
      </c>
      <c r="C419" s="4" t="str">
        <f t="shared" si="1"/>
        <v>438816184742477</v>
      </c>
      <c r="D419" s="4">
        <v>4660.0</v>
      </c>
      <c r="E419" s="13" t="str">
        <f t="shared" si="23"/>
        <v>LOW</v>
      </c>
      <c r="F419" s="16">
        <f>VLOOKUP(C419,Sleep!C:F,4,FALSE)</f>
        <v>0.4298611111</v>
      </c>
      <c r="G419" s="12">
        <f>VLOOKUP(C419,Sleep!C:I,7,FALSE)</f>
        <v>0.9656786271</v>
      </c>
    </row>
    <row r="420">
      <c r="A420" s="4">
        <v>4.388161847E9</v>
      </c>
      <c r="B420" s="5">
        <v>42478.0</v>
      </c>
      <c r="C420" s="4" t="str">
        <f t="shared" si="1"/>
        <v>438816184742478</v>
      </c>
      <c r="D420" s="4">
        <v>11009.0</v>
      </c>
      <c r="E420" s="13" t="str">
        <f t="shared" si="23"/>
        <v>HIGH</v>
      </c>
      <c r="F420" s="16">
        <f>VLOOKUP(C420,Sleep!C:F,4,FALSE)</f>
        <v>0.06875</v>
      </c>
      <c r="G420" s="12">
        <f>VLOOKUP(C420,Sleep!C:I,7,FALSE)</f>
        <v>0.9519230769</v>
      </c>
    </row>
    <row r="421">
      <c r="A421" s="4">
        <v>4.388161847E9</v>
      </c>
      <c r="B421" s="5">
        <v>42479.0</v>
      </c>
      <c r="C421" s="4" t="str">
        <f t="shared" si="1"/>
        <v>438816184742479</v>
      </c>
      <c r="D421" s="4">
        <v>10181.0</v>
      </c>
      <c r="E421" s="13" t="str">
        <f t="shared" si="23"/>
        <v>HIGH</v>
      </c>
      <c r="F421" s="16">
        <f>VLOOKUP(C421,Sleep!C:F,4,FALSE)</f>
        <v>0.2284722222</v>
      </c>
      <c r="G421" s="12">
        <f>VLOOKUP(C421,Sleep!C:I,7,FALSE)</f>
        <v>0.9733727811</v>
      </c>
    </row>
    <row r="422">
      <c r="A422" s="4">
        <v>4.388161847E9</v>
      </c>
      <c r="B422" s="5">
        <v>42480.0</v>
      </c>
      <c r="C422" s="4" t="str">
        <f t="shared" si="1"/>
        <v>438816184742480</v>
      </c>
      <c r="D422" s="4">
        <v>10553.0</v>
      </c>
      <c r="E422" s="13" t="str">
        <f t="shared" si="23"/>
        <v>HIGH</v>
      </c>
      <c r="F422" s="16">
        <f>VLOOKUP(C422,Sleep!C:F,4,FALSE)</f>
        <v>0.2923611111</v>
      </c>
      <c r="G422" s="12">
        <f>VLOOKUP(C422,Sleep!C:I,7,FALSE)</f>
        <v>0.933481153</v>
      </c>
    </row>
    <row r="423">
      <c r="A423" s="4">
        <v>4.388161847E9</v>
      </c>
      <c r="B423" s="5">
        <v>42481.0</v>
      </c>
      <c r="C423" s="4" t="str">
        <f t="shared" si="1"/>
        <v>438816184742481</v>
      </c>
      <c r="D423" s="4">
        <v>10055.0</v>
      </c>
      <c r="E423" s="13" t="str">
        <f t="shared" si="23"/>
        <v>HIGH</v>
      </c>
      <c r="F423" s="16">
        <f>VLOOKUP(C423,Sleep!C:F,4,FALSE)</f>
        <v>0.3069444444</v>
      </c>
      <c r="G423" s="12">
        <f>VLOOKUP(C423,Sleep!C:I,7,FALSE)</f>
        <v>0.9650655022</v>
      </c>
    </row>
    <row r="424">
      <c r="A424" s="4">
        <v>4.388161847E9</v>
      </c>
      <c r="B424" s="5">
        <v>42482.0</v>
      </c>
      <c r="C424" s="4" t="str">
        <f t="shared" si="1"/>
        <v>438816184742482</v>
      </c>
      <c r="D424" s="4">
        <v>12139.0</v>
      </c>
      <c r="E424" s="13" t="str">
        <f t="shared" si="23"/>
        <v>HIGH</v>
      </c>
      <c r="F424" s="16">
        <f>VLOOKUP(C424,Sleep!C:F,4,FALSE)</f>
        <v>0.05694444444</v>
      </c>
      <c r="G424" s="12">
        <f>VLOOKUP(C424,Sleep!C:I,7,FALSE)</f>
        <v>0.9647058824</v>
      </c>
    </row>
    <row r="425">
      <c r="A425" s="4">
        <v>4.388161847E9</v>
      </c>
      <c r="B425" s="5">
        <v>42483.0</v>
      </c>
      <c r="C425" s="4" t="str">
        <f t="shared" si="1"/>
        <v>438816184742483</v>
      </c>
      <c r="D425" s="4">
        <v>13236.0</v>
      </c>
      <c r="E425" s="13" t="str">
        <f t="shared" si="23"/>
        <v>HIGH</v>
      </c>
      <c r="F425" s="16">
        <f>VLOOKUP(C425,Sleep!C:F,4,FALSE)</f>
        <v>0.3319444444</v>
      </c>
      <c r="G425" s="12">
        <f>VLOOKUP(C425,Sleep!C:I,7,FALSE)</f>
        <v>0.9540918164</v>
      </c>
    </row>
    <row r="426">
      <c r="A426" s="4">
        <v>4.388161847E9</v>
      </c>
      <c r="B426" s="5">
        <v>42484.0</v>
      </c>
      <c r="C426" s="4" t="str">
        <f t="shared" si="1"/>
        <v>438816184742484</v>
      </c>
      <c r="D426" s="4">
        <v>10243.0</v>
      </c>
      <c r="E426" s="13" t="str">
        <f t="shared" si="23"/>
        <v>HIGH</v>
      </c>
      <c r="F426" s="16">
        <f>VLOOKUP(C426,Sleep!C:F,4,FALSE)</f>
        <v>0.3833333333</v>
      </c>
      <c r="G426" s="12">
        <f>VLOOKUP(C426,Sleep!C:I,7,FALSE)</f>
        <v>0.9277310924</v>
      </c>
    </row>
    <row r="427" hidden="1">
      <c r="A427" s="4">
        <v>4.388161847E9</v>
      </c>
      <c r="B427" s="5">
        <v>42485.0</v>
      </c>
      <c r="C427" s="4" t="str">
        <f t="shared" si="1"/>
        <v>438816184742485</v>
      </c>
      <c r="D427" s="4">
        <v>12961.0</v>
      </c>
      <c r="E427" s="4"/>
      <c r="F427" s="13" t="str">
        <f>VLOOKUP(C427,Sleep!C:F,4,FALSE)</f>
        <v>#N/A</v>
      </c>
    </row>
    <row r="428">
      <c r="A428" s="4">
        <v>4.388161847E9</v>
      </c>
      <c r="B428" s="5">
        <v>42486.0</v>
      </c>
      <c r="C428" s="4" t="str">
        <f t="shared" si="1"/>
        <v>438816184742486</v>
      </c>
      <c r="D428" s="4">
        <v>9461.0</v>
      </c>
      <c r="E428" s="13" t="str">
        <f t="shared" ref="E428:E430" si="24">IF(D428&lt;5000, "LOW",IF(D428&lt;10000,"MEDIUM","HIGH"))</f>
        <v>MEDIUM</v>
      </c>
      <c r="F428" s="16">
        <f>VLOOKUP(C428,Sleep!C:F,4,FALSE)</f>
        <v>0.2215277778</v>
      </c>
      <c r="G428" s="12">
        <f>VLOOKUP(C428,Sleep!C:I,7,FALSE)</f>
        <v>0.9219653179</v>
      </c>
    </row>
    <row r="429">
      <c r="A429" s="4">
        <v>4.388161847E9</v>
      </c>
      <c r="B429" s="5">
        <v>42487.0</v>
      </c>
      <c r="C429" s="4" t="str">
        <f t="shared" si="1"/>
        <v>438816184742487</v>
      </c>
      <c r="D429" s="4">
        <v>11193.0</v>
      </c>
      <c r="E429" s="13" t="str">
        <f t="shared" si="24"/>
        <v>HIGH</v>
      </c>
      <c r="F429" s="16">
        <f>VLOOKUP(C429,Sleep!C:F,4,FALSE)</f>
        <v>0.3048611111</v>
      </c>
      <c r="G429" s="12">
        <f>VLOOKUP(C429,Sleep!C:I,7,FALSE)</f>
        <v>0.878</v>
      </c>
    </row>
    <row r="430">
      <c r="A430" s="4">
        <v>4.388161847E9</v>
      </c>
      <c r="B430" s="5">
        <v>42488.0</v>
      </c>
      <c r="C430" s="4" t="str">
        <f t="shared" si="1"/>
        <v>438816184742488</v>
      </c>
      <c r="D430" s="4">
        <v>10074.0</v>
      </c>
      <c r="E430" s="13" t="str">
        <f t="shared" si="24"/>
        <v>HIGH</v>
      </c>
      <c r="F430" s="16">
        <f>VLOOKUP(C430,Sleep!C:F,4,FALSE)</f>
        <v>0.2972222222</v>
      </c>
      <c r="G430" s="12">
        <f>VLOOKUP(C430,Sleep!C:I,7,FALSE)</f>
        <v>0.9344978166</v>
      </c>
    </row>
    <row r="431" hidden="1">
      <c r="A431" s="4">
        <v>4.388161847E9</v>
      </c>
      <c r="B431" s="5">
        <v>42489.0</v>
      </c>
      <c r="C431" s="4" t="str">
        <f t="shared" si="1"/>
        <v>438816184742489</v>
      </c>
      <c r="D431" s="4">
        <v>9232.0</v>
      </c>
      <c r="E431" s="4"/>
      <c r="F431" s="13" t="str">
        <f>VLOOKUP(C431,Sleep!C:F,4,FALSE)</f>
        <v>#N/A</v>
      </c>
    </row>
    <row r="432">
      <c r="A432" s="4">
        <v>4.388161847E9</v>
      </c>
      <c r="B432" s="5">
        <v>42490.0</v>
      </c>
      <c r="C432" s="4" t="str">
        <f t="shared" si="1"/>
        <v>438816184742490</v>
      </c>
      <c r="D432" s="4">
        <v>12533.0</v>
      </c>
      <c r="E432" s="13" t="str">
        <f t="shared" ref="E432:E434" si="25">IF(D432&lt;5000, "LOW",IF(D432&lt;10000,"MEDIUM","HIGH"))</f>
        <v>HIGH</v>
      </c>
      <c r="F432" s="16">
        <f>VLOOKUP(C432,Sleep!C:F,4,FALSE)</f>
        <v>0.2840277778</v>
      </c>
      <c r="G432" s="12">
        <f>VLOOKUP(C432,Sleep!C:I,7,FALSE)</f>
        <v>0.9511627907</v>
      </c>
    </row>
    <row r="433">
      <c r="A433" s="4">
        <v>4.388161847E9</v>
      </c>
      <c r="B433" s="5">
        <v>42491.0</v>
      </c>
      <c r="C433" s="4" t="str">
        <f t="shared" si="1"/>
        <v>438816184742491</v>
      </c>
      <c r="D433" s="4">
        <v>10255.0</v>
      </c>
      <c r="E433" s="13" t="str">
        <f t="shared" si="25"/>
        <v>HIGH</v>
      </c>
      <c r="F433" s="16">
        <f>VLOOKUP(C433,Sleep!C:F,4,FALSE)</f>
        <v>0.3798611111</v>
      </c>
      <c r="G433" s="12">
        <f>VLOOKUP(C433,Sleep!C:I,7,FALSE)</f>
        <v>0.9162479062</v>
      </c>
    </row>
    <row r="434">
      <c r="A434" s="4">
        <v>4.388161847E9</v>
      </c>
      <c r="B434" s="5">
        <v>42492.0</v>
      </c>
      <c r="C434" s="4" t="str">
        <f t="shared" si="1"/>
        <v>438816184742492</v>
      </c>
      <c r="D434" s="4">
        <v>10096.0</v>
      </c>
      <c r="E434" s="13" t="str">
        <f t="shared" si="25"/>
        <v>HIGH</v>
      </c>
      <c r="F434" s="16">
        <f>VLOOKUP(C434,Sleep!C:F,4,FALSE)</f>
        <v>0.2555555556</v>
      </c>
      <c r="G434" s="12">
        <f>VLOOKUP(C434,Sleep!C:I,7,FALSE)</f>
        <v>0.9787234043</v>
      </c>
    </row>
    <row r="435" hidden="1">
      <c r="A435" s="4">
        <v>4.388161847E9</v>
      </c>
      <c r="B435" s="5">
        <v>42493.0</v>
      </c>
      <c r="C435" s="4" t="str">
        <f t="shared" si="1"/>
        <v>438816184742493</v>
      </c>
      <c r="D435" s="4">
        <v>12727.0</v>
      </c>
      <c r="E435" s="4"/>
      <c r="F435" s="13" t="str">
        <f>VLOOKUP(C435,Sleep!C:F,4,FALSE)</f>
        <v>#N/A</v>
      </c>
    </row>
    <row r="436">
      <c r="A436" s="4">
        <v>4.388161847E9</v>
      </c>
      <c r="B436" s="5">
        <v>42494.0</v>
      </c>
      <c r="C436" s="4" t="str">
        <f t="shared" si="1"/>
        <v>438816184742494</v>
      </c>
      <c r="D436" s="4">
        <v>12375.0</v>
      </c>
      <c r="E436" s="13" t="str">
        <f t="shared" ref="E436:E437" si="26">IF(D436&lt;5000, "LOW",IF(D436&lt;10000,"MEDIUM","HIGH"))</f>
        <v>HIGH</v>
      </c>
      <c r="F436" s="16">
        <f>VLOOKUP(C436,Sleep!C:F,4,FALSE)</f>
        <v>0.2708333333</v>
      </c>
      <c r="G436" s="12">
        <f>VLOOKUP(C436,Sleep!C:I,7,FALSE)</f>
        <v>0.9420289855</v>
      </c>
    </row>
    <row r="437">
      <c r="A437" s="4">
        <v>4.388161847E9</v>
      </c>
      <c r="B437" s="5">
        <v>42495.0</v>
      </c>
      <c r="C437" s="4" t="str">
        <f t="shared" si="1"/>
        <v>438816184742495</v>
      </c>
      <c r="D437" s="4">
        <v>9603.0</v>
      </c>
      <c r="E437" s="13" t="str">
        <f t="shared" si="26"/>
        <v>MEDIUM</v>
      </c>
      <c r="F437" s="16">
        <f>VLOOKUP(C437,Sleep!C:F,4,FALSE)</f>
        <v>0.3270833333</v>
      </c>
      <c r="G437" s="12">
        <f>VLOOKUP(C437,Sleep!C:I,7,FALSE)</f>
        <v>0.9515151515</v>
      </c>
    </row>
    <row r="438" hidden="1">
      <c r="A438" s="4">
        <v>4.388161847E9</v>
      </c>
      <c r="B438" s="5">
        <v>42496.0</v>
      </c>
      <c r="C438" s="4" t="str">
        <f t="shared" si="1"/>
        <v>438816184742496</v>
      </c>
      <c r="D438" s="4">
        <v>13175.0</v>
      </c>
      <c r="E438" s="4"/>
      <c r="F438" s="13" t="str">
        <f>VLOOKUP(C438,Sleep!C:F,4,FALSE)</f>
        <v>#N/A</v>
      </c>
    </row>
    <row r="439">
      <c r="A439" s="4">
        <v>4.388161847E9</v>
      </c>
      <c r="B439" s="5">
        <v>42497.0</v>
      </c>
      <c r="C439" s="4" t="str">
        <f t="shared" si="1"/>
        <v>438816184742497</v>
      </c>
      <c r="D439" s="4">
        <v>22770.0</v>
      </c>
      <c r="E439" s="13" t="str">
        <f t="shared" ref="E439:E443" si="27">IF(D439&lt;5000, "LOW",IF(D439&lt;10000,"MEDIUM","HIGH"))</f>
        <v>HIGH</v>
      </c>
      <c r="F439" s="16">
        <f>VLOOKUP(C439,Sleep!C:F,4,FALSE)</f>
        <v>0.3277777778</v>
      </c>
      <c r="G439" s="12">
        <f>VLOOKUP(C439,Sleep!C:I,7,FALSE)</f>
        <v>0.9516129032</v>
      </c>
    </row>
    <row r="440">
      <c r="A440" s="4">
        <v>4.388161847E9</v>
      </c>
      <c r="B440" s="5">
        <v>42498.0</v>
      </c>
      <c r="C440" s="4" t="str">
        <f t="shared" si="1"/>
        <v>438816184742498</v>
      </c>
      <c r="D440" s="4">
        <v>17298.0</v>
      </c>
      <c r="E440" s="13" t="str">
        <f t="shared" si="27"/>
        <v>HIGH</v>
      </c>
      <c r="F440" s="16">
        <f>VLOOKUP(C440,Sleep!C:F,4,FALSE)</f>
        <v>0.3673611111</v>
      </c>
      <c r="G440" s="12">
        <f>VLOOKUP(C440,Sleep!C:I,7,FALSE)</f>
        <v>0.977818854</v>
      </c>
    </row>
    <row r="441">
      <c r="A441" s="4">
        <v>4.388161847E9</v>
      </c>
      <c r="B441" s="5">
        <v>42499.0</v>
      </c>
      <c r="C441" s="4" t="str">
        <f t="shared" si="1"/>
        <v>438816184742499</v>
      </c>
      <c r="D441" s="4">
        <v>10218.0</v>
      </c>
      <c r="E441" s="13" t="str">
        <f t="shared" si="27"/>
        <v>HIGH</v>
      </c>
      <c r="F441" s="16">
        <f>VLOOKUP(C441,Sleep!C:F,4,FALSE)</f>
        <v>0.04305555556</v>
      </c>
      <c r="G441" s="12">
        <f>VLOOKUP(C441,Sleep!C:I,7,FALSE)</f>
        <v>0.9538461538</v>
      </c>
    </row>
    <row r="442">
      <c r="A442" s="4">
        <v>4.388161847E9</v>
      </c>
      <c r="B442" s="5">
        <v>42500.0</v>
      </c>
      <c r="C442" s="4" t="str">
        <f t="shared" si="1"/>
        <v>438816184742500</v>
      </c>
      <c r="D442" s="4">
        <v>10299.0</v>
      </c>
      <c r="E442" s="13" t="str">
        <f t="shared" si="27"/>
        <v>HIGH</v>
      </c>
      <c r="F442" s="16">
        <f>VLOOKUP(C442,Sleep!C:F,4,FALSE)</f>
        <v>0.2458333333</v>
      </c>
      <c r="G442" s="12">
        <f>VLOOKUP(C442,Sleep!C:I,7,FALSE)</f>
        <v>0.944</v>
      </c>
    </row>
    <row r="443">
      <c r="A443" s="4">
        <v>4.388161847E9</v>
      </c>
      <c r="B443" s="5">
        <v>42501.0</v>
      </c>
      <c r="C443" s="4" t="str">
        <f t="shared" si="1"/>
        <v>438816184742501</v>
      </c>
      <c r="D443" s="4">
        <v>10201.0</v>
      </c>
      <c r="E443" s="13" t="str">
        <f t="shared" si="27"/>
        <v>HIGH</v>
      </c>
      <c r="F443" s="16">
        <f>VLOOKUP(C443,Sleep!C:F,4,FALSE)</f>
        <v>0.3256944444</v>
      </c>
      <c r="G443" s="12">
        <f>VLOOKUP(C443,Sleep!C:I,7,FALSE)</f>
        <v>0.9493927126</v>
      </c>
    </row>
    <row r="444" hidden="1">
      <c r="A444" s="4">
        <v>4.388161847E9</v>
      </c>
      <c r="B444" s="5">
        <v>42502.0</v>
      </c>
      <c r="C444" s="4" t="str">
        <f t="shared" si="1"/>
        <v>438816184742502</v>
      </c>
      <c r="D444" s="4">
        <v>3369.0</v>
      </c>
      <c r="E444" s="4"/>
      <c r="F444" s="13" t="str">
        <f>VLOOKUP(C444,Sleep!C:F,4,FALSE)</f>
        <v>#N/A</v>
      </c>
    </row>
    <row r="445">
      <c r="A445" s="4">
        <v>4.445114986E9</v>
      </c>
      <c r="B445" s="5">
        <v>42472.0</v>
      </c>
      <c r="C445" s="4" t="str">
        <f t="shared" si="1"/>
        <v>444511498642472</v>
      </c>
      <c r="D445" s="4">
        <v>3276.0</v>
      </c>
      <c r="E445" s="13" t="str">
        <f t="shared" ref="E445:E450" si="28">IF(D445&lt;5000, "LOW",IF(D445&lt;10000,"MEDIUM","HIGH"))</f>
        <v>LOW</v>
      </c>
      <c r="F445" s="16">
        <f>VLOOKUP(C445,Sleep!C:F,4,FALSE)</f>
        <v>0.2979166667</v>
      </c>
      <c r="G445" s="12">
        <f>VLOOKUP(C445,Sleep!C:I,7,FALSE)</f>
        <v>0.9387308534</v>
      </c>
    </row>
    <row r="446">
      <c r="A446" s="4">
        <v>4.445114986E9</v>
      </c>
      <c r="B446" s="5">
        <v>42473.0</v>
      </c>
      <c r="C446" s="4" t="str">
        <f t="shared" si="1"/>
        <v>444511498642473</v>
      </c>
      <c r="D446" s="4">
        <v>2961.0</v>
      </c>
      <c r="E446" s="13" t="str">
        <f t="shared" si="28"/>
        <v>LOW</v>
      </c>
      <c r="F446" s="16">
        <f>VLOOKUP(C446,Sleep!C:F,4,FALSE)</f>
        <v>0.2569444444</v>
      </c>
      <c r="G446" s="12">
        <f>VLOOKUP(C446,Sleep!C:I,7,FALSE)</f>
        <v>0.9113300493</v>
      </c>
    </row>
    <row r="447">
      <c r="A447" s="4">
        <v>4.445114986E9</v>
      </c>
      <c r="B447" s="5">
        <v>42474.0</v>
      </c>
      <c r="C447" s="4" t="str">
        <f t="shared" si="1"/>
        <v>444511498642474</v>
      </c>
      <c r="D447" s="4">
        <v>3974.0</v>
      </c>
      <c r="E447" s="13" t="str">
        <f t="shared" si="28"/>
        <v>LOW</v>
      </c>
      <c r="F447" s="16">
        <f>VLOOKUP(C447,Sleep!C:F,4,FALSE)</f>
        <v>0.30625</v>
      </c>
      <c r="G447" s="12">
        <f>VLOOKUP(C447,Sleep!C:I,7,FALSE)</f>
        <v>0.8963414634</v>
      </c>
    </row>
    <row r="448">
      <c r="A448" s="4">
        <v>4.445114986E9</v>
      </c>
      <c r="B448" s="5">
        <v>42475.0</v>
      </c>
      <c r="C448" s="4" t="str">
        <f t="shared" si="1"/>
        <v>444511498642475</v>
      </c>
      <c r="D448" s="4">
        <v>7198.0</v>
      </c>
      <c r="E448" s="13" t="str">
        <f t="shared" si="28"/>
        <v>MEDIUM</v>
      </c>
      <c r="F448" s="16">
        <f>VLOOKUP(C448,Sleep!C:F,4,FALSE)</f>
        <v>0.2340277778</v>
      </c>
      <c r="G448" s="12">
        <f>VLOOKUP(C448,Sleep!C:I,7,FALSE)</f>
        <v>0.889182058</v>
      </c>
    </row>
    <row r="449">
      <c r="A449" s="4">
        <v>4.445114986E9</v>
      </c>
      <c r="B449" s="5">
        <v>42476.0</v>
      </c>
      <c r="C449" s="4" t="str">
        <f t="shared" si="1"/>
        <v>444511498642476</v>
      </c>
      <c r="D449" s="4">
        <v>3945.0</v>
      </c>
      <c r="E449" s="13" t="str">
        <f t="shared" si="28"/>
        <v>LOW</v>
      </c>
      <c r="F449" s="16">
        <f>VLOOKUP(C449,Sleep!C:F,4,FALSE)</f>
        <v>0.3208333333</v>
      </c>
      <c r="G449" s="12">
        <f>VLOOKUP(C449,Sleep!C:I,7,FALSE)</f>
        <v>0.9258517034</v>
      </c>
    </row>
    <row r="450">
      <c r="A450" s="4">
        <v>4.445114986E9</v>
      </c>
      <c r="B450" s="5">
        <v>42477.0</v>
      </c>
      <c r="C450" s="4" t="str">
        <f t="shared" si="1"/>
        <v>444511498642477</v>
      </c>
      <c r="D450" s="4">
        <v>2268.0</v>
      </c>
      <c r="E450" s="13" t="str">
        <f t="shared" si="28"/>
        <v>LOW</v>
      </c>
      <c r="F450" s="16">
        <f>VLOOKUP(C450,Sleep!C:F,4,FALSE)</f>
        <v>0.06805555556</v>
      </c>
      <c r="G450" s="12">
        <f>VLOOKUP(C450,Sleep!C:I,7,FALSE)</f>
        <v>0.9158878505</v>
      </c>
    </row>
    <row r="451" hidden="1">
      <c r="A451" s="4">
        <v>4.445114986E9</v>
      </c>
      <c r="B451" s="5">
        <v>42478.0</v>
      </c>
      <c r="C451" s="4" t="str">
        <f t="shared" si="1"/>
        <v>444511498642478</v>
      </c>
      <c r="D451" s="4">
        <v>6155.0</v>
      </c>
      <c r="E451" s="4"/>
      <c r="F451" s="13" t="str">
        <f>VLOOKUP(C451,Sleep!C:F,4,FALSE)</f>
        <v>#N/A</v>
      </c>
    </row>
    <row r="452">
      <c r="A452" s="4">
        <v>4.445114986E9</v>
      </c>
      <c r="B452" s="5">
        <v>42479.0</v>
      </c>
      <c r="C452" s="4" t="str">
        <f t="shared" si="1"/>
        <v>444511498642479</v>
      </c>
      <c r="D452" s="4">
        <v>2064.0</v>
      </c>
      <c r="E452" s="13" t="str">
        <f t="shared" ref="E452:E455" si="29">IF(D452&lt;5000, "LOW",IF(D452&lt;10000,"MEDIUM","HIGH"))</f>
        <v>LOW</v>
      </c>
      <c r="F452" s="16">
        <f>VLOOKUP(C452,Sleep!C:F,4,FALSE)</f>
        <v>0.2694444444</v>
      </c>
      <c r="G452" s="12">
        <f>VLOOKUP(C452,Sleep!C:I,7,FALSE)</f>
        <v>0.9150943396</v>
      </c>
    </row>
    <row r="453">
      <c r="A453" s="4">
        <v>4.445114986E9</v>
      </c>
      <c r="B453" s="5">
        <v>42480.0</v>
      </c>
      <c r="C453" s="4" t="str">
        <f t="shared" si="1"/>
        <v>444511498642480</v>
      </c>
      <c r="D453" s="4">
        <v>2072.0</v>
      </c>
      <c r="E453" s="13" t="str">
        <f t="shared" si="29"/>
        <v>LOW</v>
      </c>
      <c r="F453" s="16">
        <f>VLOOKUP(C453,Sleep!C:F,4,FALSE)</f>
        <v>0.3048611111</v>
      </c>
      <c r="G453" s="12">
        <f>VLOOKUP(C453,Sleep!C:I,7,FALSE)</f>
        <v>0.9502164502</v>
      </c>
    </row>
    <row r="454">
      <c r="A454" s="4">
        <v>4.445114986E9</v>
      </c>
      <c r="B454" s="5">
        <v>42481.0</v>
      </c>
      <c r="C454" s="4" t="str">
        <f t="shared" si="1"/>
        <v>444511498642481</v>
      </c>
      <c r="D454" s="4">
        <v>3809.0</v>
      </c>
      <c r="E454" s="13" t="str">
        <f t="shared" si="29"/>
        <v>LOW</v>
      </c>
      <c r="F454" s="16">
        <f>VLOOKUP(C454,Sleep!C:F,4,FALSE)</f>
        <v>0.3027777778</v>
      </c>
      <c r="G454" s="12">
        <f>VLOOKUP(C454,Sleep!C:I,7,FALSE)</f>
        <v>0.9296375267</v>
      </c>
    </row>
    <row r="455">
      <c r="A455" s="4">
        <v>4.445114986E9</v>
      </c>
      <c r="B455" s="5">
        <v>42482.0</v>
      </c>
      <c r="C455" s="4" t="str">
        <f t="shared" si="1"/>
        <v>444511498642482</v>
      </c>
      <c r="D455" s="4">
        <v>6831.0</v>
      </c>
      <c r="E455" s="13" t="str">
        <f t="shared" si="29"/>
        <v>MEDIUM</v>
      </c>
      <c r="F455" s="16">
        <f>VLOOKUP(C455,Sleep!C:F,4,FALSE)</f>
        <v>0.2694444444</v>
      </c>
      <c r="G455" s="12">
        <f>VLOOKUP(C455,Sleep!C:I,7,FALSE)</f>
        <v>0.9304556355</v>
      </c>
    </row>
    <row r="456" hidden="1">
      <c r="A456" s="4">
        <v>4.445114986E9</v>
      </c>
      <c r="B456" s="5">
        <v>42483.0</v>
      </c>
      <c r="C456" s="4" t="str">
        <f t="shared" si="1"/>
        <v>444511498642483</v>
      </c>
      <c r="D456" s="4">
        <v>4363.0</v>
      </c>
      <c r="E456" s="4"/>
      <c r="F456" s="13" t="str">
        <f>VLOOKUP(C456,Sleep!C:F,4,FALSE)</f>
        <v>#N/A</v>
      </c>
    </row>
    <row r="457" hidden="1">
      <c r="A457" s="4">
        <v>4.445114986E9</v>
      </c>
      <c r="B457" s="5">
        <v>42484.0</v>
      </c>
      <c r="C457" s="4" t="str">
        <f t="shared" si="1"/>
        <v>444511498642484</v>
      </c>
      <c r="D457" s="4">
        <v>5002.0</v>
      </c>
      <c r="E457" s="4"/>
      <c r="F457" s="13" t="str">
        <f>VLOOKUP(C457,Sleep!C:F,4,FALSE)</f>
        <v>#N/A</v>
      </c>
    </row>
    <row r="458">
      <c r="A458" s="4">
        <v>4.445114986E9</v>
      </c>
      <c r="B458" s="5">
        <v>42485.0</v>
      </c>
      <c r="C458" s="4" t="str">
        <f t="shared" si="1"/>
        <v>444511498642485</v>
      </c>
      <c r="D458" s="4">
        <v>3385.0</v>
      </c>
      <c r="E458" s="13" t="str">
        <f t="shared" ref="E458:E475" si="30">IF(D458&lt;5000, "LOW",IF(D458&lt;10000,"MEDIUM","HIGH"))</f>
        <v>LOW</v>
      </c>
      <c r="F458" s="16">
        <f>VLOOKUP(C458,Sleep!C:F,4,FALSE)</f>
        <v>0.2277777778</v>
      </c>
      <c r="G458" s="12">
        <f>VLOOKUP(C458,Sleep!C:I,7,FALSE)</f>
        <v>0.9507246377</v>
      </c>
    </row>
    <row r="459">
      <c r="A459" s="4">
        <v>4.445114986E9</v>
      </c>
      <c r="B459" s="5">
        <v>42486.0</v>
      </c>
      <c r="C459" s="4" t="str">
        <f t="shared" si="1"/>
        <v>444511498642486</v>
      </c>
      <c r="D459" s="4">
        <v>6326.0</v>
      </c>
      <c r="E459" s="13" t="str">
        <f t="shared" si="30"/>
        <v>MEDIUM</v>
      </c>
      <c r="F459" s="16">
        <f>VLOOKUP(C459,Sleep!C:F,4,FALSE)</f>
        <v>0.2451388889</v>
      </c>
      <c r="G459" s="12">
        <f>VLOOKUP(C459,Sleep!C:I,7,FALSE)</f>
        <v>0.9028132992</v>
      </c>
    </row>
    <row r="460">
      <c r="A460" s="4">
        <v>4.445114986E9</v>
      </c>
      <c r="B460" s="5">
        <v>42487.0</v>
      </c>
      <c r="C460" s="4" t="str">
        <f t="shared" si="1"/>
        <v>444511498642487</v>
      </c>
      <c r="D460" s="4">
        <v>7243.0</v>
      </c>
      <c r="E460" s="13" t="str">
        <f t="shared" si="30"/>
        <v>MEDIUM</v>
      </c>
      <c r="F460" s="16">
        <f>VLOOKUP(C460,Sleep!C:F,4,FALSE)</f>
        <v>0.2305555556</v>
      </c>
      <c r="G460" s="12">
        <f>VLOOKUP(C460,Sleep!C:I,7,FALSE)</f>
        <v>0.8877005348</v>
      </c>
    </row>
    <row r="461">
      <c r="A461" s="4">
        <v>4.445114986E9</v>
      </c>
      <c r="B461" s="5">
        <v>42488.0</v>
      </c>
      <c r="C461" s="4" t="str">
        <f t="shared" si="1"/>
        <v>444511498642488</v>
      </c>
      <c r="D461" s="4">
        <v>4493.0</v>
      </c>
      <c r="E461" s="13" t="str">
        <f t="shared" si="30"/>
        <v>LOW</v>
      </c>
      <c r="F461" s="16">
        <f>VLOOKUP(C461,Sleep!C:F,4,FALSE)</f>
        <v>0.2909722222</v>
      </c>
      <c r="G461" s="12">
        <f>VLOOKUP(C461,Sleep!C:I,7,FALSE)</f>
        <v>0.9479638009</v>
      </c>
    </row>
    <row r="462">
      <c r="A462" s="4">
        <v>4.445114986E9</v>
      </c>
      <c r="B462" s="5">
        <v>42489.0</v>
      </c>
      <c r="C462" s="4" t="str">
        <f t="shared" si="1"/>
        <v>444511498642489</v>
      </c>
      <c r="D462" s="4">
        <v>4676.0</v>
      </c>
      <c r="E462" s="13" t="str">
        <f t="shared" si="30"/>
        <v>LOW</v>
      </c>
      <c r="F462" s="16">
        <f>VLOOKUP(C462,Sleep!C:F,4,FALSE)</f>
        <v>0.07361111111</v>
      </c>
      <c r="G462" s="12">
        <f>VLOOKUP(C462,Sleep!C:I,7,FALSE)</f>
        <v>0.9814814815</v>
      </c>
    </row>
    <row r="463">
      <c r="A463" s="4">
        <v>4.445114986E9</v>
      </c>
      <c r="B463" s="5">
        <v>42490.0</v>
      </c>
      <c r="C463" s="4" t="str">
        <f t="shared" si="1"/>
        <v>444511498642490</v>
      </c>
      <c r="D463" s="4">
        <v>6222.0</v>
      </c>
      <c r="E463" s="13" t="str">
        <f t="shared" si="30"/>
        <v>MEDIUM</v>
      </c>
      <c r="F463" s="16">
        <f>VLOOKUP(C463,Sleep!C:F,4,FALSE)</f>
        <v>0.2236111111</v>
      </c>
      <c r="G463" s="12">
        <f>VLOOKUP(C463,Sleep!C:I,7,FALSE)</f>
        <v>0.9121813031</v>
      </c>
    </row>
    <row r="464">
      <c r="A464" s="4">
        <v>4.445114986E9</v>
      </c>
      <c r="B464" s="5">
        <v>42491.0</v>
      </c>
      <c r="C464" s="4" t="str">
        <f t="shared" si="1"/>
        <v>444511498642491</v>
      </c>
      <c r="D464" s="4">
        <v>5232.0</v>
      </c>
      <c r="E464" s="13" t="str">
        <f t="shared" si="30"/>
        <v>MEDIUM</v>
      </c>
      <c r="F464" s="16">
        <f>VLOOKUP(C464,Sleep!C:F,4,FALSE)</f>
        <v>0.3048611111</v>
      </c>
      <c r="G464" s="12">
        <f>VLOOKUP(C464,Sleep!C:I,7,FALSE)</f>
        <v>0.9564270153</v>
      </c>
    </row>
    <row r="465">
      <c r="A465" s="4">
        <v>4.445114986E9</v>
      </c>
      <c r="B465" s="5">
        <v>42492.0</v>
      </c>
      <c r="C465" s="4" t="str">
        <f t="shared" si="1"/>
        <v>444511498642492</v>
      </c>
      <c r="D465" s="4">
        <v>6910.0</v>
      </c>
      <c r="E465" s="13" t="str">
        <f t="shared" si="30"/>
        <v>MEDIUM</v>
      </c>
      <c r="F465" s="16">
        <f>VLOOKUP(C465,Sleep!C:F,4,FALSE)</f>
        <v>0.3486111111</v>
      </c>
      <c r="G465" s="12">
        <f>VLOOKUP(C465,Sleep!C:I,7,FALSE)</f>
        <v>0.926199262</v>
      </c>
    </row>
    <row r="466">
      <c r="A466" s="4">
        <v>4.445114986E9</v>
      </c>
      <c r="B466" s="5">
        <v>42493.0</v>
      </c>
      <c r="C466" s="4" t="str">
        <f t="shared" si="1"/>
        <v>444511498642493</v>
      </c>
      <c r="D466" s="4">
        <v>7502.0</v>
      </c>
      <c r="E466" s="13" t="str">
        <f t="shared" si="30"/>
        <v>MEDIUM</v>
      </c>
      <c r="F466" s="16">
        <f>VLOOKUP(C466,Sleep!C:F,4,FALSE)</f>
        <v>0.2895833333</v>
      </c>
      <c r="G466" s="12">
        <f>VLOOKUP(C466,Sleep!C:I,7,FALSE)</f>
        <v>0.9266666667</v>
      </c>
    </row>
    <row r="467">
      <c r="A467" s="4">
        <v>4.445114986E9</v>
      </c>
      <c r="B467" s="5">
        <v>42494.0</v>
      </c>
      <c r="C467" s="4" t="str">
        <f t="shared" si="1"/>
        <v>444511498642494</v>
      </c>
      <c r="D467" s="4">
        <v>2923.0</v>
      </c>
      <c r="E467" s="13" t="str">
        <f t="shared" si="30"/>
        <v>LOW</v>
      </c>
      <c r="F467" s="16">
        <f>VLOOKUP(C467,Sleep!C:F,4,FALSE)</f>
        <v>0.2340277778</v>
      </c>
      <c r="G467" s="12">
        <f>VLOOKUP(C467,Sleep!C:I,7,FALSE)</f>
        <v>0.9283746556</v>
      </c>
    </row>
    <row r="468">
      <c r="A468" s="4">
        <v>4.445114986E9</v>
      </c>
      <c r="B468" s="5">
        <v>42495.0</v>
      </c>
      <c r="C468" s="4" t="str">
        <f t="shared" si="1"/>
        <v>444511498642495</v>
      </c>
      <c r="D468" s="4">
        <v>3800.0</v>
      </c>
      <c r="E468" s="13" t="str">
        <f t="shared" si="30"/>
        <v>LOW</v>
      </c>
      <c r="F468" s="16">
        <f>VLOOKUP(C468,Sleep!C:F,4,FALSE)</f>
        <v>0.3208333333</v>
      </c>
      <c r="G468" s="12">
        <f>VLOOKUP(C468,Sleep!C:I,7,FALSE)</f>
        <v>0.9005847953</v>
      </c>
    </row>
    <row r="469">
      <c r="A469" s="4">
        <v>4.445114986E9</v>
      </c>
      <c r="B469" s="5">
        <v>42496.0</v>
      </c>
      <c r="C469" s="4" t="str">
        <f t="shared" si="1"/>
        <v>444511498642496</v>
      </c>
      <c r="D469" s="4">
        <v>4514.0</v>
      </c>
      <c r="E469" s="13" t="str">
        <f t="shared" si="30"/>
        <v>LOW</v>
      </c>
      <c r="F469" s="16">
        <f>VLOOKUP(C469,Sleep!C:F,4,FALSE)</f>
        <v>0.2597222222</v>
      </c>
      <c r="G469" s="12">
        <f>VLOOKUP(C469,Sleep!C:I,7,FALSE)</f>
        <v>0.9303482587</v>
      </c>
    </row>
    <row r="470">
      <c r="A470" s="4">
        <v>4.445114986E9</v>
      </c>
      <c r="B470" s="5">
        <v>42497.0</v>
      </c>
      <c r="C470" s="4" t="str">
        <f t="shared" si="1"/>
        <v>444511498642497</v>
      </c>
      <c r="D470" s="4">
        <v>5183.0</v>
      </c>
      <c r="E470" s="13" t="str">
        <f t="shared" si="30"/>
        <v>MEDIUM</v>
      </c>
      <c r="F470" s="16">
        <f>VLOOKUP(C470,Sleep!C:F,4,FALSE)</f>
        <v>0.2784722222</v>
      </c>
      <c r="G470" s="12">
        <f>VLOOKUP(C470,Sleep!C:I,7,FALSE)</f>
        <v>0.9197247706</v>
      </c>
    </row>
    <row r="471">
      <c r="A471" s="4">
        <v>4.445114986E9</v>
      </c>
      <c r="B471" s="5">
        <v>42498.0</v>
      </c>
      <c r="C471" s="4" t="str">
        <f t="shared" si="1"/>
        <v>444511498642498</v>
      </c>
      <c r="D471" s="4">
        <v>7303.0</v>
      </c>
      <c r="E471" s="13" t="str">
        <f t="shared" si="30"/>
        <v>MEDIUM</v>
      </c>
      <c r="F471" s="16">
        <f>VLOOKUP(C471,Sleep!C:F,4,FALSE)</f>
        <v>0.2506944444</v>
      </c>
      <c r="G471" s="12">
        <f>VLOOKUP(C471,Sleep!C:I,7,FALSE)</f>
        <v>0.9232736573</v>
      </c>
    </row>
    <row r="472">
      <c r="A472" s="4">
        <v>4.445114986E9</v>
      </c>
      <c r="B472" s="5">
        <v>42499.0</v>
      </c>
      <c r="C472" s="4" t="str">
        <f t="shared" si="1"/>
        <v>444511498642499</v>
      </c>
      <c r="D472" s="4">
        <v>5275.0</v>
      </c>
      <c r="E472" s="13" t="str">
        <f t="shared" si="30"/>
        <v>MEDIUM</v>
      </c>
      <c r="F472" s="16">
        <f>VLOOKUP(C472,Sleep!C:F,4,FALSE)</f>
        <v>0.3173611111</v>
      </c>
      <c r="G472" s="12">
        <f>VLOOKUP(C472,Sleep!C:I,7,FALSE)</f>
        <v>0.8574108818</v>
      </c>
    </row>
    <row r="473">
      <c r="A473" s="4">
        <v>4.445114986E9</v>
      </c>
      <c r="B473" s="5">
        <v>42500.0</v>
      </c>
      <c r="C473" s="4" t="str">
        <f t="shared" si="1"/>
        <v>444511498642500</v>
      </c>
      <c r="D473" s="4">
        <v>3915.0</v>
      </c>
      <c r="E473" s="13" t="str">
        <f t="shared" si="30"/>
        <v>LOW</v>
      </c>
      <c r="F473" s="16">
        <f>VLOOKUP(C473,Sleep!C:F,4,FALSE)</f>
        <v>0.28125</v>
      </c>
      <c r="G473" s="12">
        <f>VLOOKUP(C473,Sleep!C:I,7,FALSE)</f>
        <v>0.9507042254</v>
      </c>
    </row>
    <row r="474">
      <c r="A474" s="4">
        <v>4.445114986E9</v>
      </c>
      <c r="B474" s="5">
        <v>42501.0</v>
      </c>
      <c r="C474" s="4" t="str">
        <f t="shared" si="1"/>
        <v>444511498642501</v>
      </c>
      <c r="D474" s="4">
        <v>9105.0</v>
      </c>
      <c r="E474" s="13" t="str">
        <f t="shared" si="30"/>
        <v>MEDIUM</v>
      </c>
      <c r="F474" s="16">
        <f>VLOOKUP(C474,Sleep!C:F,4,FALSE)</f>
        <v>0.3465277778</v>
      </c>
      <c r="G474" s="12">
        <f>VLOOKUP(C474,Sleep!C:I,7,FALSE)</f>
        <v>0.941509434</v>
      </c>
    </row>
    <row r="475">
      <c r="A475" s="4">
        <v>4.445114986E9</v>
      </c>
      <c r="B475" s="5">
        <v>42502.0</v>
      </c>
      <c r="C475" s="4" t="str">
        <f t="shared" si="1"/>
        <v>444511498642502</v>
      </c>
      <c r="D475" s="4">
        <v>768.0</v>
      </c>
      <c r="E475" s="13" t="str">
        <f t="shared" si="30"/>
        <v>LOW</v>
      </c>
      <c r="F475" s="16">
        <f>VLOOKUP(C475,Sleep!C:F,4,FALSE)</f>
        <v>0.3354166667</v>
      </c>
      <c r="G475" s="12">
        <f>VLOOKUP(C475,Sleep!C:I,7,FALSE)</f>
        <v>0.9640718563</v>
      </c>
    </row>
    <row r="476" hidden="1">
      <c r="A476" s="4">
        <v>4.558609924E9</v>
      </c>
      <c r="B476" s="5">
        <v>42472.0</v>
      </c>
      <c r="C476" s="4" t="str">
        <f t="shared" si="1"/>
        <v>455860992442472</v>
      </c>
      <c r="D476" s="4">
        <v>5135.0</v>
      </c>
      <c r="E476" s="4"/>
      <c r="F476" s="13" t="str">
        <f>VLOOKUP(C476,Sleep!C:F,4,FALSE)</f>
        <v>#N/A</v>
      </c>
    </row>
    <row r="477" hidden="1">
      <c r="A477" s="4">
        <v>4.558609924E9</v>
      </c>
      <c r="B477" s="5">
        <v>42473.0</v>
      </c>
      <c r="C477" s="4" t="str">
        <f t="shared" si="1"/>
        <v>455860992442473</v>
      </c>
      <c r="D477" s="4">
        <v>4978.0</v>
      </c>
      <c r="E477" s="4"/>
      <c r="F477" s="13" t="str">
        <f>VLOOKUP(C477,Sleep!C:F,4,FALSE)</f>
        <v>#N/A</v>
      </c>
    </row>
    <row r="478" hidden="1">
      <c r="A478" s="4">
        <v>4.558609924E9</v>
      </c>
      <c r="B478" s="5">
        <v>42474.0</v>
      </c>
      <c r="C478" s="4" t="str">
        <f t="shared" si="1"/>
        <v>455860992442474</v>
      </c>
      <c r="D478" s="4">
        <v>6799.0</v>
      </c>
      <c r="E478" s="4"/>
      <c r="F478" s="13" t="str">
        <f>VLOOKUP(C478,Sleep!C:F,4,FALSE)</f>
        <v>#N/A</v>
      </c>
    </row>
    <row r="479" hidden="1">
      <c r="A479" s="4">
        <v>4.558609924E9</v>
      </c>
      <c r="B479" s="5">
        <v>42475.0</v>
      </c>
      <c r="C479" s="4" t="str">
        <f t="shared" si="1"/>
        <v>455860992442475</v>
      </c>
      <c r="D479" s="4">
        <v>7795.0</v>
      </c>
      <c r="E479" s="4"/>
      <c r="F479" s="13" t="str">
        <f>VLOOKUP(C479,Sleep!C:F,4,FALSE)</f>
        <v>#N/A</v>
      </c>
    </row>
    <row r="480" hidden="1">
      <c r="A480" s="4">
        <v>4.558609924E9</v>
      </c>
      <c r="B480" s="5">
        <v>42476.0</v>
      </c>
      <c r="C480" s="4" t="str">
        <f t="shared" si="1"/>
        <v>455860992442476</v>
      </c>
      <c r="D480" s="4">
        <v>7289.0</v>
      </c>
      <c r="E480" s="4"/>
      <c r="F480" s="13" t="str">
        <f>VLOOKUP(C480,Sleep!C:F,4,FALSE)</f>
        <v>#N/A</v>
      </c>
    </row>
    <row r="481" hidden="1">
      <c r="A481" s="4">
        <v>4.558609924E9</v>
      </c>
      <c r="B481" s="5">
        <v>42477.0</v>
      </c>
      <c r="C481" s="4" t="str">
        <f t="shared" si="1"/>
        <v>455860992442477</v>
      </c>
      <c r="D481" s="4">
        <v>9634.0</v>
      </c>
      <c r="E481" s="4"/>
      <c r="F481" s="13" t="str">
        <f>VLOOKUP(C481,Sleep!C:F,4,FALSE)</f>
        <v>#N/A</v>
      </c>
    </row>
    <row r="482" hidden="1">
      <c r="A482" s="4">
        <v>4.558609924E9</v>
      </c>
      <c r="B482" s="5">
        <v>42478.0</v>
      </c>
      <c r="C482" s="4" t="str">
        <f t="shared" si="1"/>
        <v>455860992442478</v>
      </c>
      <c r="D482" s="4">
        <v>8940.0</v>
      </c>
      <c r="E482" s="4"/>
      <c r="F482" s="13" t="str">
        <f>VLOOKUP(C482,Sleep!C:F,4,FALSE)</f>
        <v>#N/A</v>
      </c>
    </row>
    <row r="483" hidden="1">
      <c r="A483" s="4">
        <v>4.558609924E9</v>
      </c>
      <c r="B483" s="5">
        <v>42479.0</v>
      </c>
      <c r="C483" s="4" t="str">
        <f t="shared" si="1"/>
        <v>455860992442479</v>
      </c>
      <c r="D483" s="4">
        <v>5401.0</v>
      </c>
      <c r="E483" s="4"/>
      <c r="F483" s="13" t="str">
        <f>VLOOKUP(C483,Sleep!C:F,4,FALSE)</f>
        <v>#N/A</v>
      </c>
    </row>
    <row r="484" hidden="1">
      <c r="A484" s="4">
        <v>4.558609924E9</v>
      </c>
      <c r="B484" s="5">
        <v>42480.0</v>
      </c>
      <c r="C484" s="4" t="str">
        <f t="shared" si="1"/>
        <v>455860992442480</v>
      </c>
      <c r="D484" s="4">
        <v>4803.0</v>
      </c>
      <c r="E484" s="4"/>
      <c r="F484" s="13" t="str">
        <f>VLOOKUP(C484,Sleep!C:F,4,FALSE)</f>
        <v>#N/A</v>
      </c>
    </row>
    <row r="485">
      <c r="A485" s="4">
        <v>4.558609924E9</v>
      </c>
      <c r="B485" s="5">
        <v>42481.0</v>
      </c>
      <c r="C485" s="4" t="str">
        <f t="shared" si="1"/>
        <v>455860992442481</v>
      </c>
      <c r="D485" s="4">
        <v>13743.0</v>
      </c>
      <c r="E485" s="13" t="str">
        <f>IF(D485&lt;5000, "LOW",IF(D485&lt;10000,"MEDIUM","HIGH"))</f>
        <v>HIGH</v>
      </c>
      <c r="F485" s="16">
        <f>VLOOKUP(C485,Sleep!C:F,4,FALSE)</f>
        <v>0.0875</v>
      </c>
      <c r="G485" s="12">
        <f>VLOOKUP(C485,Sleep!C:I,7,FALSE)</f>
        <v>0.9197080292</v>
      </c>
    </row>
    <row r="486" hidden="1">
      <c r="A486" s="4">
        <v>4.558609924E9</v>
      </c>
      <c r="B486" s="5">
        <v>42482.0</v>
      </c>
      <c r="C486" s="4" t="str">
        <f t="shared" si="1"/>
        <v>455860992442482</v>
      </c>
      <c r="D486" s="4">
        <v>9601.0</v>
      </c>
      <c r="E486" s="4"/>
      <c r="F486" s="13" t="str">
        <f>VLOOKUP(C486,Sleep!C:F,4,FALSE)</f>
        <v>#N/A</v>
      </c>
    </row>
    <row r="487" hidden="1">
      <c r="A487" s="4">
        <v>4.558609924E9</v>
      </c>
      <c r="B487" s="5">
        <v>42483.0</v>
      </c>
      <c r="C487" s="4" t="str">
        <f t="shared" si="1"/>
        <v>455860992442483</v>
      </c>
      <c r="D487" s="4">
        <v>6890.0</v>
      </c>
      <c r="E487" s="4"/>
      <c r="F487" s="13" t="str">
        <f>VLOOKUP(C487,Sleep!C:F,4,FALSE)</f>
        <v>#N/A</v>
      </c>
    </row>
    <row r="488" hidden="1">
      <c r="A488" s="4">
        <v>4.558609924E9</v>
      </c>
      <c r="B488" s="5">
        <v>42484.0</v>
      </c>
      <c r="C488" s="4" t="str">
        <f t="shared" si="1"/>
        <v>455860992442484</v>
      </c>
      <c r="D488" s="4">
        <v>8563.0</v>
      </c>
      <c r="E488" s="4"/>
      <c r="F488" s="13" t="str">
        <f>VLOOKUP(C488,Sleep!C:F,4,FALSE)</f>
        <v>#N/A</v>
      </c>
    </row>
    <row r="489" hidden="1">
      <c r="A489" s="4">
        <v>4.558609924E9</v>
      </c>
      <c r="B489" s="5">
        <v>42485.0</v>
      </c>
      <c r="C489" s="4" t="str">
        <f t="shared" si="1"/>
        <v>455860992442485</v>
      </c>
      <c r="D489" s="4">
        <v>8095.0</v>
      </c>
      <c r="E489" s="4"/>
      <c r="F489" s="13" t="str">
        <f>VLOOKUP(C489,Sleep!C:F,4,FALSE)</f>
        <v>#N/A</v>
      </c>
    </row>
    <row r="490">
      <c r="A490" s="4">
        <v>4.558609924E9</v>
      </c>
      <c r="B490" s="5">
        <v>42486.0</v>
      </c>
      <c r="C490" s="4" t="str">
        <f t="shared" si="1"/>
        <v>455860992442486</v>
      </c>
      <c r="D490" s="4">
        <v>9148.0</v>
      </c>
      <c r="E490" s="13" t="str">
        <f>IF(D490&lt;5000, "LOW",IF(D490&lt;10000,"MEDIUM","HIGH"))</f>
        <v>MEDIUM</v>
      </c>
      <c r="F490" s="16">
        <f>VLOOKUP(C490,Sleep!C:F,4,FALSE)</f>
        <v>0.07152777778</v>
      </c>
      <c r="G490" s="12">
        <f>VLOOKUP(C490,Sleep!C:I,7,FALSE)</f>
        <v>0.8512396694</v>
      </c>
    </row>
    <row r="491" hidden="1">
      <c r="A491" s="4">
        <v>4.558609924E9</v>
      </c>
      <c r="B491" s="5">
        <v>42487.0</v>
      </c>
      <c r="C491" s="4" t="str">
        <f t="shared" si="1"/>
        <v>455860992442487</v>
      </c>
      <c r="D491" s="4">
        <v>9557.0</v>
      </c>
      <c r="E491" s="4"/>
      <c r="F491" s="13" t="str">
        <f>VLOOKUP(C491,Sleep!C:F,4,FALSE)</f>
        <v>#N/A</v>
      </c>
    </row>
    <row r="492" hidden="1">
      <c r="A492" s="4">
        <v>4.558609924E9</v>
      </c>
      <c r="B492" s="5">
        <v>42488.0</v>
      </c>
      <c r="C492" s="4" t="str">
        <f t="shared" si="1"/>
        <v>455860992442488</v>
      </c>
      <c r="D492" s="4">
        <v>9451.0</v>
      </c>
      <c r="E492" s="4"/>
      <c r="F492" s="13" t="str">
        <f>VLOOKUP(C492,Sleep!C:F,4,FALSE)</f>
        <v>#N/A</v>
      </c>
    </row>
    <row r="493">
      <c r="A493" s="4">
        <v>4.558609924E9</v>
      </c>
      <c r="B493" s="5">
        <v>42489.0</v>
      </c>
      <c r="C493" s="4" t="str">
        <f t="shared" si="1"/>
        <v>455860992442489</v>
      </c>
      <c r="D493" s="4">
        <v>7833.0</v>
      </c>
      <c r="E493" s="13" t="str">
        <f>IF(D493&lt;5000, "LOW",IF(D493&lt;10000,"MEDIUM","HIGH"))</f>
        <v>MEDIUM</v>
      </c>
      <c r="F493" s="16">
        <f>VLOOKUP(C493,Sleep!C:F,4,FALSE)</f>
        <v>0.11875</v>
      </c>
      <c r="G493" s="12">
        <f>VLOOKUP(C493,Sleep!C:I,7,FALSE)</f>
        <v>0.9553072626</v>
      </c>
    </row>
    <row r="494" hidden="1">
      <c r="A494" s="4">
        <v>4.558609924E9</v>
      </c>
      <c r="B494" s="5">
        <v>42490.0</v>
      </c>
      <c r="C494" s="4" t="str">
        <f t="shared" si="1"/>
        <v>455860992442490</v>
      </c>
      <c r="D494" s="4">
        <v>10319.0</v>
      </c>
      <c r="E494" s="4"/>
      <c r="F494" s="13" t="str">
        <f>VLOOKUP(C494,Sleep!C:F,4,FALSE)</f>
        <v>#N/A</v>
      </c>
    </row>
    <row r="495">
      <c r="A495" s="4">
        <v>4.558609924E9</v>
      </c>
      <c r="B495" s="5">
        <v>42491.0</v>
      </c>
      <c r="C495" s="4" t="str">
        <f t="shared" si="1"/>
        <v>455860992442491</v>
      </c>
      <c r="D495" s="4">
        <v>3428.0</v>
      </c>
      <c r="E495" s="13" t="str">
        <f>IF(D495&lt;5000, "LOW",IF(D495&lt;10000,"MEDIUM","HIGH"))</f>
        <v>LOW</v>
      </c>
      <c r="F495" s="16">
        <f>VLOOKUP(C495,Sleep!C:F,4,FALSE)</f>
        <v>0.07986111111</v>
      </c>
      <c r="G495" s="12">
        <f>VLOOKUP(C495,Sleep!C:I,7,FALSE)</f>
        <v>0.8914728682</v>
      </c>
    </row>
    <row r="496" hidden="1">
      <c r="A496" s="4">
        <v>4.558609924E9</v>
      </c>
      <c r="B496" s="5">
        <v>42492.0</v>
      </c>
      <c r="C496" s="4" t="str">
        <f t="shared" si="1"/>
        <v>455860992442492</v>
      </c>
      <c r="D496" s="4">
        <v>7891.0</v>
      </c>
      <c r="E496" s="4"/>
      <c r="F496" s="13" t="str">
        <f>VLOOKUP(C496,Sleep!C:F,4,FALSE)</f>
        <v>#N/A</v>
      </c>
    </row>
    <row r="497" hidden="1">
      <c r="A497" s="4">
        <v>4.558609924E9</v>
      </c>
      <c r="B497" s="5">
        <v>42493.0</v>
      </c>
      <c r="C497" s="4" t="str">
        <f t="shared" si="1"/>
        <v>455860992442493</v>
      </c>
      <c r="D497" s="4">
        <v>5267.0</v>
      </c>
      <c r="E497" s="4"/>
      <c r="F497" s="13" t="str">
        <f>VLOOKUP(C497,Sleep!C:F,4,FALSE)</f>
        <v>#N/A</v>
      </c>
    </row>
    <row r="498" hidden="1">
      <c r="A498" s="4">
        <v>4.558609924E9</v>
      </c>
      <c r="B498" s="5">
        <v>42494.0</v>
      </c>
      <c r="C498" s="4" t="str">
        <f t="shared" si="1"/>
        <v>455860992442494</v>
      </c>
      <c r="D498" s="4">
        <v>5232.0</v>
      </c>
      <c r="E498" s="4"/>
      <c r="F498" s="13" t="str">
        <f>VLOOKUP(C498,Sleep!C:F,4,FALSE)</f>
        <v>#N/A</v>
      </c>
    </row>
    <row r="499" hidden="1">
      <c r="A499" s="4">
        <v>4.558609924E9</v>
      </c>
      <c r="B499" s="5">
        <v>42495.0</v>
      </c>
      <c r="C499" s="4" t="str">
        <f t="shared" si="1"/>
        <v>455860992442495</v>
      </c>
      <c r="D499" s="4">
        <v>10611.0</v>
      </c>
      <c r="E499" s="4"/>
      <c r="F499" s="13" t="str">
        <f>VLOOKUP(C499,Sleep!C:F,4,FALSE)</f>
        <v>#N/A</v>
      </c>
    </row>
    <row r="500" hidden="1">
      <c r="A500" s="4">
        <v>4.558609924E9</v>
      </c>
      <c r="B500" s="5">
        <v>42496.0</v>
      </c>
      <c r="C500" s="4" t="str">
        <f t="shared" si="1"/>
        <v>455860992442496</v>
      </c>
      <c r="D500" s="4">
        <v>3755.0</v>
      </c>
      <c r="E500" s="4"/>
      <c r="F500" s="13" t="str">
        <f>VLOOKUP(C500,Sleep!C:F,4,FALSE)</f>
        <v>#N/A</v>
      </c>
    </row>
    <row r="501" hidden="1">
      <c r="A501" s="4">
        <v>4.558609924E9</v>
      </c>
      <c r="B501" s="5">
        <v>42497.0</v>
      </c>
      <c r="C501" s="4" t="str">
        <f t="shared" si="1"/>
        <v>455860992442497</v>
      </c>
      <c r="D501" s="4">
        <v>8237.0</v>
      </c>
      <c r="E501" s="4"/>
      <c r="F501" s="13" t="str">
        <f>VLOOKUP(C501,Sleep!C:F,4,FALSE)</f>
        <v>#N/A</v>
      </c>
    </row>
    <row r="502">
      <c r="A502" s="4">
        <v>4.558609924E9</v>
      </c>
      <c r="B502" s="5">
        <v>42498.0</v>
      </c>
      <c r="C502" s="4" t="str">
        <f t="shared" si="1"/>
        <v>455860992442498</v>
      </c>
      <c r="D502" s="4">
        <v>6543.0</v>
      </c>
      <c r="E502" s="13" t="str">
        <f>IF(D502&lt;5000, "LOW",IF(D502&lt;10000,"MEDIUM","HIGH"))</f>
        <v>MEDIUM</v>
      </c>
      <c r="F502" s="16">
        <f>VLOOKUP(C502,Sleep!C:F,4,FALSE)</f>
        <v>0.08541666667</v>
      </c>
      <c r="G502" s="12">
        <f>VLOOKUP(C502,Sleep!C:I,7,FALSE)</f>
        <v>0.9179104478</v>
      </c>
    </row>
    <row r="503" hidden="1">
      <c r="A503" s="4">
        <v>4.558609924E9</v>
      </c>
      <c r="B503" s="5">
        <v>42499.0</v>
      </c>
      <c r="C503" s="4" t="str">
        <f t="shared" si="1"/>
        <v>455860992442499</v>
      </c>
      <c r="D503" s="4">
        <v>11451.0</v>
      </c>
      <c r="E503" s="4"/>
      <c r="F503" s="13" t="str">
        <f>VLOOKUP(C503,Sleep!C:F,4,FALSE)</f>
        <v>#N/A</v>
      </c>
    </row>
    <row r="504" hidden="1">
      <c r="A504" s="4">
        <v>4.558609924E9</v>
      </c>
      <c r="B504" s="5">
        <v>42500.0</v>
      </c>
      <c r="C504" s="4" t="str">
        <f t="shared" si="1"/>
        <v>455860992442500</v>
      </c>
      <c r="D504" s="4">
        <v>6435.0</v>
      </c>
      <c r="E504" s="4"/>
      <c r="F504" s="13" t="str">
        <f>VLOOKUP(C504,Sleep!C:F,4,FALSE)</f>
        <v>#N/A</v>
      </c>
    </row>
    <row r="505" hidden="1">
      <c r="A505" s="4">
        <v>4.558609924E9</v>
      </c>
      <c r="B505" s="5">
        <v>42501.0</v>
      </c>
      <c r="C505" s="4" t="str">
        <f t="shared" si="1"/>
        <v>455860992442501</v>
      </c>
      <c r="D505" s="4">
        <v>9108.0</v>
      </c>
      <c r="E505" s="4"/>
      <c r="F505" s="13" t="str">
        <f>VLOOKUP(C505,Sleep!C:F,4,FALSE)</f>
        <v>#N/A</v>
      </c>
    </row>
    <row r="506" hidden="1">
      <c r="A506" s="4">
        <v>4.558609924E9</v>
      </c>
      <c r="B506" s="5">
        <v>42502.0</v>
      </c>
      <c r="C506" s="4" t="str">
        <f t="shared" si="1"/>
        <v>455860992442502</v>
      </c>
      <c r="D506" s="4">
        <v>6307.0</v>
      </c>
      <c r="E506" s="4"/>
      <c r="F506" s="13" t="str">
        <f>VLOOKUP(C506,Sleep!C:F,4,FALSE)</f>
        <v>#N/A</v>
      </c>
    </row>
    <row r="507">
      <c r="A507" s="4">
        <v>4.702921684E9</v>
      </c>
      <c r="B507" s="5">
        <v>42472.0</v>
      </c>
      <c r="C507" s="4" t="str">
        <f t="shared" si="1"/>
        <v>470292168442472</v>
      </c>
      <c r="D507" s="4">
        <v>7213.0</v>
      </c>
      <c r="E507" s="13" t="str">
        <f t="shared" ref="E507:E516" si="31">IF(D507&lt;5000, "LOW",IF(D507&lt;10000,"MEDIUM","HIGH"))</f>
        <v>MEDIUM</v>
      </c>
      <c r="F507" s="16">
        <f>VLOOKUP(C507,Sleep!C:F,4,FALSE)</f>
        <v>0.2951388889</v>
      </c>
      <c r="G507" s="12">
        <f>VLOOKUP(C507,Sleep!C:I,7,FALSE)</f>
        <v>0.9681093394</v>
      </c>
    </row>
    <row r="508">
      <c r="A508" s="4">
        <v>4.702921684E9</v>
      </c>
      <c r="B508" s="5">
        <v>42473.0</v>
      </c>
      <c r="C508" s="4" t="str">
        <f t="shared" si="1"/>
        <v>470292168442473</v>
      </c>
      <c r="D508" s="4">
        <v>6877.0</v>
      </c>
      <c r="E508" s="13" t="str">
        <f t="shared" si="31"/>
        <v>MEDIUM</v>
      </c>
      <c r="F508" s="16">
        <f>VLOOKUP(C508,Sleep!C:F,4,FALSE)</f>
        <v>0.2777777778</v>
      </c>
      <c r="G508" s="12">
        <f>VLOOKUP(C508,Sleep!C:I,7,FALSE)</f>
        <v>0.9302325581</v>
      </c>
    </row>
    <row r="509">
      <c r="A509" s="4">
        <v>4.702921684E9</v>
      </c>
      <c r="B509" s="5">
        <v>42474.0</v>
      </c>
      <c r="C509" s="4" t="str">
        <f t="shared" si="1"/>
        <v>470292168442474</v>
      </c>
      <c r="D509" s="4">
        <v>7860.0</v>
      </c>
      <c r="E509" s="13" t="str">
        <f t="shared" si="31"/>
        <v>MEDIUM</v>
      </c>
      <c r="F509" s="16">
        <f>VLOOKUP(C509,Sleep!C:F,4,FALSE)</f>
        <v>0.2666666667</v>
      </c>
      <c r="G509" s="12">
        <f>VLOOKUP(C509,Sleep!C:I,7,FALSE)</f>
        <v>0.9253012048</v>
      </c>
    </row>
    <row r="510">
      <c r="A510" s="4">
        <v>4.702921684E9</v>
      </c>
      <c r="B510" s="5">
        <v>42475.0</v>
      </c>
      <c r="C510" s="4" t="str">
        <f t="shared" si="1"/>
        <v>470292168442475</v>
      </c>
      <c r="D510" s="4">
        <v>6506.0</v>
      </c>
      <c r="E510" s="13" t="str">
        <f t="shared" si="31"/>
        <v>MEDIUM</v>
      </c>
      <c r="F510" s="16">
        <f>VLOOKUP(C510,Sleep!C:F,4,FALSE)</f>
        <v>0.1756944444</v>
      </c>
      <c r="G510" s="12">
        <f>VLOOKUP(C510,Sleep!C:I,7,FALSE)</f>
        <v>0.9844357977</v>
      </c>
    </row>
    <row r="511">
      <c r="A511" s="4">
        <v>4.702921684E9</v>
      </c>
      <c r="B511" s="5">
        <v>42476.0</v>
      </c>
      <c r="C511" s="4" t="str">
        <f t="shared" si="1"/>
        <v>470292168442476</v>
      </c>
      <c r="D511" s="4">
        <v>11140.0</v>
      </c>
      <c r="E511" s="13" t="str">
        <f t="shared" si="31"/>
        <v>HIGH</v>
      </c>
      <c r="F511" s="16">
        <f>VLOOKUP(C511,Sleep!C:F,4,FALSE)</f>
        <v>0.2652777778</v>
      </c>
      <c r="G511" s="12">
        <f>VLOOKUP(C511,Sleep!C:I,7,FALSE)</f>
        <v>0.9408866995</v>
      </c>
    </row>
    <row r="512">
      <c r="A512" s="4">
        <v>4.702921684E9</v>
      </c>
      <c r="B512" s="5">
        <v>42477.0</v>
      </c>
      <c r="C512" s="4" t="str">
        <f t="shared" si="1"/>
        <v>470292168442477</v>
      </c>
      <c r="D512" s="4">
        <v>12692.0</v>
      </c>
      <c r="E512" s="13" t="str">
        <f t="shared" si="31"/>
        <v>HIGH</v>
      </c>
      <c r="F512" s="16">
        <f>VLOOKUP(C512,Sleep!C:F,4,FALSE)</f>
        <v>0.4104166667</v>
      </c>
      <c r="G512" s="12">
        <f>VLOOKUP(C512,Sleep!C:I,7,FALSE)</f>
        <v>0.9656862745</v>
      </c>
    </row>
    <row r="513">
      <c r="A513" s="4">
        <v>4.702921684E9</v>
      </c>
      <c r="B513" s="5">
        <v>42478.0</v>
      </c>
      <c r="C513" s="4" t="str">
        <f t="shared" si="1"/>
        <v>470292168442478</v>
      </c>
      <c r="D513" s="4">
        <v>9105.0</v>
      </c>
      <c r="E513" s="13" t="str">
        <f t="shared" si="31"/>
        <v>MEDIUM</v>
      </c>
      <c r="F513" s="16">
        <f>VLOOKUP(C513,Sleep!C:F,4,FALSE)</f>
        <v>0.2034722222</v>
      </c>
      <c r="G513" s="12">
        <f>VLOOKUP(C513,Sleep!C:I,7,FALSE)</f>
        <v>0.9391025641</v>
      </c>
    </row>
    <row r="514">
      <c r="A514" s="4">
        <v>4.702921684E9</v>
      </c>
      <c r="B514" s="5">
        <v>42479.0</v>
      </c>
      <c r="C514" s="4" t="str">
        <f t="shared" si="1"/>
        <v>470292168442479</v>
      </c>
      <c r="D514" s="4">
        <v>6708.0</v>
      </c>
      <c r="E514" s="13" t="str">
        <f t="shared" si="31"/>
        <v>MEDIUM</v>
      </c>
      <c r="F514" s="16">
        <f>VLOOKUP(C514,Sleep!C:F,4,FALSE)</f>
        <v>0.3173611111</v>
      </c>
      <c r="G514" s="12">
        <f>VLOOKUP(C514,Sleep!C:I,7,FALSE)</f>
        <v>0.9383983573</v>
      </c>
    </row>
    <row r="515">
      <c r="A515" s="4">
        <v>4.702921684E9</v>
      </c>
      <c r="B515" s="5">
        <v>42480.0</v>
      </c>
      <c r="C515" s="4" t="str">
        <f t="shared" si="1"/>
        <v>470292168442480</v>
      </c>
      <c r="D515" s="4">
        <v>8793.0</v>
      </c>
      <c r="E515" s="13" t="str">
        <f t="shared" si="31"/>
        <v>MEDIUM</v>
      </c>
      <c r="F515" s="16">
        <f>VLOOKUP(C515,Sleep!C:F,4,FALSE)</f>
        <v>0.3152777778</v>
      </c>
      <c r="G515" s="12">
        <f>VLOOKUP(C515,Sleep!C:I,7,FALSE)</f>
        <v>0.9700854701</v>
      </c>
    </row>
    <row r="516">
      <c r="A516" s="4">
        <v>4.702921684E9</v>
      </c>
      <c r="B516" s="5">
        <v>42481.0</v>
      </c>
      <c r="C516" s="4" t="str">
        <f t="shared" si="1"/>
        <v>470292168442481</v>
      </c>
      <c r="D516" s="4">
        <v>6530.0</v>
      </c>
      <c r="E516" s="13" t="str">
        <f t="shared" si="31"/>
        <v>MEDIUM</v>
      </c>
      <c r="F516" s="16">
        <f>VLOOKUP(C516,Sleep!C:F,4,FALSE)</f>
        <v>0.2951388889</v>
      </c>
      <c r="G516" s="12">
        <f>VLOOKUP(C516,Sleep!C:I,7,FALSE)</f>
        <v>0.9792626728</v>
      </c>
    </row>
    <row r="517" hidden="1">
      <c r="A517" s="4">
        <v>4.702921684E9</v>
      </c>
      <c r="B517" s="5">
        <v>42482.0</v>
      </c>
      <c r="C517" s="4" t="str">
        <f t="shared" si="1"/>
        <v>470292168442482</v>
      </c>
      <c r="D517" s="4">
        <v>1664.0</v>
      </c>
      <c r="E517" s="4"/>
      <c r="F517" s="13" t="str">
        <f>VLOOKUP(C517,Sleep!C:F,4,FALSE)</f>
        <v>#N/A</v>
      </c>
    </row>
    <row r="518">
      <c r="A518" s="4">
        <v>4.702921684E9</v>
      </c>
      <c r="B518" s="5">
        <v>42483.0</v>
      </c>
      <c r="C518" s="4" t="str">
        <f t="shared" si="1"/>
        <v>470292168442483</v>
      </c>
      <c r="D518" s="4">
        <v>15126.0</v>
      </c>
      <c r="E518" s="13" t="str">
        <f t="shared" ref="E518:E525" si="32">IF(D518&lt;5000, "LOW",IF(D518&lt;10000,"MEDIUM","HIGH"))</f>
        <v>HIGH</v>
      </c>
      <c r="F518" s="16">
        <f>VLOOKUP(C518,Sleep!C:F,4,FALSE)</f>
        <v>0.3229166667</v>
      </c>
      <c r="G518" s="12">
        <f>VLOOKUP(C518,Sleep!C:I,7,FALSE)</f>
        <v>0.9789473684</v>
      </c>
    </row>
    <row r="519">
      <c r="A519" s="4">
        <v>4.702921684E9</v>
      </c>
      <c r="B519" s="5">
        <v>42484.0</v>
      </c>
      <c r="C519" s="4" t="str">
        <f t="shared" si="1"/>
        <v>470292168442484</v>
      </c>
      <c r="D519" s="4">
        <v>15050.0</v>
      </c>
      <c r="E519" s="13" t="str">
        <f t="shared" si="32"/>
        <v>HIGH</v>
      </c>
      <c r="F519" s="16">
        <f>VLOOKUP(C519,Sleep!C:F,4,FALSE)</f>
        <v>0.3333333333</v>
      </c>
      <c r="G519" s="12">
        <f>VLOOKUP(C519,Sleep!C:I,7,FALSE)</f>
        <v>0.9486166008</v>
      </c>
    </row>
    <row r="520">
      <c r="A520" s="4">
        <v>4.702921684E9</v>
      </c>
      <c r="B520" s="5">
        <v>42485.0</v>
      </c>
      <c r="C520" s="4" t="str">
        <f t="shared" si="1"/>
        <v>470292168442485</v>
      </c>
      <c r="D520" s="4">
        <v>9167.0</v>
      </c>
      <c r="E520" s="13" t="str">
        <f t="shared" si="32"/>
        <v>MEDIUM</v>
      </c>
      <c r="F520" s="16">
        <f>VLOOKUP(C520,Sleep!C:F,4,FALSE)</f>
        <v>0.2569444444</v>
      </c>
      <c r="G520" s="12">
        <f>VLOOKUP(C520,Sleep!C:I,7,FALSE)</f>
        <v>0.9736842105</v>
      </c>
    </row>
    <row r="521">
      <c r="A521" s="4">
        <v>4.702921684E9</v>
      </c>
      <c r="B521" s="5">
        <v>42486.0</v>
      </c>
      <c r="C521" s="4" t="str">
        <f t="shared" si="1"/>
        <v>470292168442486</v>
      </c>
      <c r="D521" s="4">
        <v>6108.0</v>
      </c>
      <c r="E521" s="13" t="str">
        <f t="shared" si="32"/>
        <v>MEDIUM</v>
      </c>
      <c r="F521" s="16">
        <f>VLOOKUP(C521,Sleep!C:F,4,FALSE)</f>
        <v>0.2923611111</v>
      </c>
      <c r="G521" s="12">
        <f>VLOOKUP(C521,Sleep!C:I,7,FALSE)</f>
        <v>0.9813519814</v>
      </c>
    </row>
    <row r="522">
      <c r="A522" s="4">
        <v>4.702921684E9</v>
      </c>
      <c r="B522" s="5">
        <v>42487.0</v>
      </c>
      <c r="C522" s="4" t="str">
        <f t="shared" si="1"/>
        <v>470292168442487</v>
      </c>
      <c r="D522" s="4">
        <v>7047.0</v>
      </c>
      <c r="E522" s="13" t="str">
        <f t="shared" si="32"/>
        <v>MEDIUM</v>
      </c>
      <c r="F522" s="16">
        <f>VLOOKUP(C522,Sleep!C:F,4,FALSE)</f>
        <v>0.3</v>
      </c>
      <c r="G522" s="12">
        <f>VLOOKUP(C522,Sleep!C:I,7,FALSE)</f>
        <v>0.9621380846</v>
      </c>
    </row>
    <row r="523">
      <c r="A523" s="4">
        <v>4.702921684E9</v>
      </c>
      <c r="B523" s="5">
        <v>42488.0</v>
      </c>
      <c r="C523" s="4" t="str">
        <f t="shared" si="1"/>
        <v>470292168442488</v>
      </c>
      <c r="D523" s="4">
        <v>9023.0</v>
      </c>
      <c r="E523" s="13" t="str">
        <f t="shared" si="32"/>
        <v>MEDIUM</v>
      </c>
      <c r="F523" s="16">
        <f>VLOOKUP(C523,Sleep!C:F,4,FALSE)</f>
        <v>0.3069444444</v>
      </c>
      <c r="G523" s="12">
        <f>VLOOKUP(C523,Sleep!C:I,7,FALSE)</f>
        <v>0.9587852495</v>
      </c>
    </row>
    <row r="524">
      <c r="A524" s="4">
        <v>4.702921684E9</v>
      </c>
      <c r="B524" s="5">
        <v>42489.0</v>
      </c>
      <c r="C524" s="4" t="str">
        <f t="shared" si="1"/>
        <v>470292168442489</v>
      </c>
      <c r="D524" s="4">
        <v>9930.0</v>
      </c>
      <c r="E524" s="13" t="str">
        <f t="shared" si="32"/>
        <v>MEDIUM</v>
      </c>
      <c r="F524" s="16">
        <f>VLOOKUP(C524,Sleep!C:F,4,FALSE)</f>
        <v>0.3006944444</v>
      </c>
      <c r="G524" s="12">
        <f>VLOOKUP(C524,Sleep!C:I,7,FALSE)</f>
        <v>0.9686800895</v>
      </c>
    </row>
    <row r="525">
      <c r="A525" s="4">
        <v>4.702921684E9</v>
      </c>
      <c r="B525" s="5">
        <v>42490.0</v>
      </c>
      <c r="C525" s="4" t="str">
        <f t="shared" si="1"/>
        <v>470292168442490</v>
      </c>
      <c r="D525" s="4">
        <v>10144.0</v>
      </c>
      <c r="E525" s="13" t="str">
        <f t="shared" si="32"/>
        <v>HIGH</v>
      </c>
      <c r="F525" s="16">
        <f>VLOOKUP(C525,Sleep!C:F,4,FALSE)</f>
        <v>0.3326388889</v>
      </c>
      <c r="G525" s="12">
        <f>VLOOKUP(C525,Sleep!C:I,7,FALSE)</f>
        <v>0.9560878244</v>
      </c>
    </row>
    <row r="526" hidden="1">
      <c r="A526" s="4">
        <v>4.702921684E9</v>
      </c>
      <c r="B526" s="5">
        <v>42491.0</v>
      </c>
      <c r="C526" s="4" t="str">
        <f t="shared" si="1"/>
        <v>470292168442491</v>
      </c>
      <c r="D526" s="4">
        <v>0.0</v>
      </c>
      <c r="E526" s="4"/>
      <c r="F526" s="13" t="str">
        <f>VLOOKUP(C526,Sleep!C:F,4,FALSE)</f>
        <v>#N/A</v>
      </c>
    </row>
    <row r="527" hidden="1">
      <c r="A527" s="4">
        <v>4.702921684E9</v>
      </c>
      <c r="B527" s="5">
        <v>42492.0</v>
      </c>
      <c r="C527" s="4" t="str">
        <f t="shared" si="1"/>
        <v>470292168442492</v>
      </c>
      <c r="D527" s="4">
        <v>7245.0</v>
      </c>
      <c r="E527" s="4"/>
      <c r="F527" s="13" t="str">
        <f>VLOOKUP(C527,Sleep!C:F,4,FALSE)</f>
        <v>#N/A</v>
      </c>
    </row>
    <row r="528">
      <c r="A528" s="4">
        <v>4.702921684E9</v>
      </c>
      <c r="B528" s="5">
        <v>42493.0</v>
      </c>
      <c r="C528" s="4" t="str">
        <f t="shared" si="1"/>
        <v>470292168442493</v>
      </c>
      <c r="D528" s="4">
        <v>9454.0</v>
      </c>
      <c r="E528" s="13" t="str">
        <f t="shared" ref="E528:E532" si="33">IF(D528&lt;5000, "LOW",IF(D528&lt;10000,"MEDIUM","HIGH"))</f>
        <v>MEDIUM</v>
      </c>
      <c r="F528" s="16">
        <f>VLOOKUP(C528,Sleep!C:F,4,FALSE)</f>
        <v>0.2270833333</v>
      </c>
      <c r="G528" s="12">
        <f>VLOOKUP(C528,Sleep!C:I,7,FALSE)</f>
        <v>0.8766756032</v>
      </c>
    </row>
    <row r="529">
      <c r="A529" s="4">
        <v>4.702921684E9</v>
      </c>
      <c r="B529" s="5">
        <v>42494.0</v>
      </c>
      <c r="C529" s="4" t="str">
        <f t="shared" si="1"/>
        <v>470292168442494</v>
      </c>
      <c r="D529" s="4">
        <v>8161.0</v>
      </c>
      <c r="E529" s="13" t="str">
        <f t="shared" si="33"/>
        <v>MEDIUM</v>
      </c>
      <c r="F529" s="16">
        <f>VLOOKUP(C529,Sleep!C:F,4,FALSE)</f>
        <v>0.2861111111</v>
      </c>
      <c r="G529" s="12">
        <f>VLOOKUP(C529,Sleep!C:I,7,FALSE)</f>
        <v>0.9493087558</v>
      </c>
    </row>
    <row r="530">
      <c r="A530" s="4">
        <v>4.702921684E9</v>
      </c>
      <c r="B530" s="5">
        <v>42495.0</v>
      </c>
      <c r="C530" s="4" t="str">
        <f t="shared" si="1"/>
        <v>470292168442495</v>
      </c>
      <c r="D530" s="4">
        <v>8614.0</v>
      </c>
      <c r="E530" s="13" t="str">
        <f t="shared" si="33"/>
        <v>MEDIUM</v>
      </c>
      <c r="F530" s="16">
        <f>VLOOKUP(C530,Sleep!C:F,4,FALSE)</f>
        <v>0.2875</v>
      </c>
      <c r="G530" s="12">
        <f>VLOOKUP(C530,Sleep!C:I,7,FALSE)</f>
        <v>0.9672897196</v>
      </c>
    </row>
    <row r="531">
      <c r="A531" s="4">
        <v>4.702921684E9</v>
      </c>
      <c r="B531" s="5">
        <v>42496.0</v>
      </c>
      <c r="C531" s="4" t="str">
        <f t="shared" si="1"/>
        <v>470292168442496</v>
      </c>
      <c r="D531" s="4">
        <v>6943.0</v>
      </c>
      <c r="E531" s="13" t="str">
        <f t="shared" si="33"/>
        <v>MEDIUM</v>
      </c>
      <c r="F531" s="16">
        <f>VLOOKUP(C531,Sleep!C:F,4,FALSE)</f>
        <v>0.2805555556</v>
      </c>
      <c r="G531" s="12">
        <f>VLOOKUP(C531,Sleep!C:I,7,FALSE)</f>
        <v>0.8997772829</v>
      </c>
    </row>
    <row r="532">
      <c r="A532" s="4">
        <v>4.702921684E9</v>
      </c>
      <c r="B532" s="5">
        <v>42497.0</v>
      </c>
      <c r="C532" s="4" t="str">
        <f t="shared" si="1"/>
        <v>470292168442497</v>
      </c>
      <c r="D532" s="4">
        <v>14370.0</v>
      </c>
      <c r="E532" s="13" t="str">
        <f t="shared" si="33"/>
        <v>HIGH</v>
      </c>
      <c r="F532" s="16">
        <f>VLOOKUP(C532,Sleep!C:F,4,FALSE)</f>
        <v>0.3611111111</v>
      </c>
      <c r="G532" s="12">
        <f>VLOOKUP(C532,Sleep!C:I,7,FALSE)</f>
        <v>0.9576427256</v>
      </c>
    </row>
    <row r="533" hidden="1">
      <c r="A533" s="4">
        <v>4.702921684E9</v>
      </c>
      <c r="B533" s="5">
        <v>42498.0</v>
      </c>
      <c r="C533" s="4" t="str">
        <f t="shared" si="1"/>
        <v>470292168442498</v>
      </c>
      <c r="D533" s="4">
        <v>12857.0</v>
      </c>
      <c r="E533" s="4"/>
      <c r="F533" s="13" t="str">
        <f>VLOOKUP(C533,Sleep!C:F,4,FALSE)</f>
        <v>#N/A</v>
      </c>
    </row>
    <row r="534">
      <c r="A534" s="4">
        <v>4.702921684E9</v>
      </c>
      <c r="B534" s="5">
        <v>42499.0</v>
      </c>
      <c r="C534" s="4" t="str">
        <f t="shared" si="1"/>
        <v>470292168442499</v>
      </c>
      <c r="D534" s="4">
        <v>8232.0</v>
      </c>
      <c r="E534" s="13" t="str">
        <f t="shared" ref="E534:E592" si="34">IF(D534&lt;5000, "LOW",IF(D534&lt;10000,"MEDIUM","HIGH"))</f>
        <v>MEDIUM</v>
      </c>
      <c r="F534" s="16">
        <f>VLOOKUP(C534,Sleep!C:F,4,FALSE)</f>
        <v>0.3020833333</v>
      </c>
      <c r="G534" s="12">
        <f>VLOOKUP(C534,Sleep!C:I,7,FALSE)</f>
        <v>0.9497816594</v>
      </c>
    </row>
    <row r="535">
      <c r="A535" s="4">
        <v>4.702921684E9</v>
      </c>
      <c r="B535" s="5">
        <v>42500.0</v>
      </c>
      <c r="C535" s="4" t="str">
        <f t="shared" si="1"/>
        <v>470292168442500</v>
      </c>
      <c r="D535" s="4">
        <v>10613.0</v>
      </c>
      <c r="E535" s="13" t="str">
        <f t="shared" si="34"/>
        <v>HIGH</v>
      </c>
      <c r="F535" s="16">
        <f>VLOOKUP(C535,Sleep!C:F,4,FALSE)</f>
        <v>0.2888888889</v>
      </c>
      <c r="G535" s="12">
        <f>VLOOKUP(C535,Sleep!C:I,7,FALSE)</f>
        <v>0.9651972158</v>
      </c>
    </row>
    <row r="536">
      <c r="A536" s="4">
        <v>4.702921684E9</v>
      </c>
      <c r="B536" s="5">
        <v>42501.0</v>
      </c>
      <c r="C536" s="4" t="str">
        <f t="shared" si="1"/>
        <v>470292168442501</v>
      </c>
      <c r="D536" s="4">
        <v>9810.0</v>
      </c>
      <c r="E536" s="13" t="str">
        <f t="shared" si="34"/>
        <v>MEDIUM</v>
      </c>
      <c r="F536" s="16">
        <f>VLOOKUP(C536,Sleep!C:F,4,FALSE)</f>
        <v>0.2458333333</v>
      </c>
      <c r="G536" s="12">
        <f>VLOOKUP(C536,Sleep!C:I,7,FALSE)</f>
        <v>0.9672131148</v>
      </c>
    </row>
    <row r="537">
      <c r="A537" s="4">
        <v>4.702921684E9</v>
      </c>
      <c r="B537" s="5">
        <v>42502.0</v>
      </c>
      <c r="C537" s="4" t="str">
        <f t="shared" si="1"/>
        <v>470292168442502</v>
      </c>
      <c r="D537" s="4">
        <v>2752.0</v>
      </c>
      <c r="E537" s="13" t="str">
        <f t="shared" si="34"/>
        <v>LOW</v>
      </c>
      <c r="F537" s="16">
        <f>VLOOKUP(C537,Sleep!C:F,4,FALSE)</f>
        <v>0.2805555556</v>
      </c>
      <c r="G537" s="12">
        <f>VLOOKUP(C537,Sleep!C:I,7,FALSE)</f>
        <v>0.9140271493</v>
      </c>
    </row>
    <row r="538">
      <c r="A538" s="4">
        <v>5.553957443E9</v>
      </c>
      <c r="B538" s="5">
        <v>42472.0</v>
      </c>
      <c r="C538" s="4" t="str">
        <f t="shared" si="1"/>
        <v>555395744342472</v>
      </c>
      <c r="D538" s="4">
        <v>11596.0</v>
      </c>
      <c r="E538" s="13" t="str">
        <f t="shared" si="34"/>
        <v>HIGH</v>
      </c>
      <c r="F538" s="16">
        <f>VLOOKUP(C538,Sleep!C:F,4,FALSE)</f>
        <v>0.30625</v>
      </c>
      <c r="G538" s="12">
        <f>VLOOKUP(C538,Sleep!C:I,7,FALSE)</f>
        <v>0.9504310345</v>
      </c>
    </row>
    <row r="539">
      <c r="A539" s="4">
        <v>5.553957443E9</v>
      </c>
      <c r="B539" s="5">
        <v>42473.0</v>
      </c>
      <c r="C539" s="4" t="str">
        <f t="shared" si="1"/>
        <v>555395744342473</v>
      </c>
      <c r="D539" s="4">
        <v>4832.0</v>
      </c>
      <c r="E539" s="13" t="str">
        <f t="shared" si="34"/>
        <v>LOW</v>
      </c>
      <c r="F539" s="16">
        <f>VLOOKUP(C539,Sleep!C:F,4,FALSE)</f>
        <v>0.3159722222</v>
      </c>
      <c r="G539" s="12">
        <f>VLOOKUP(C539,Sleep!C:I,7,FALSE)</f>
        <v>0.9323770492</v>
      </c>
    </row>
    <row r="540">
      <c r="A540" s="4">
        <v>5.553957443E9</v>
      </c>
      <c r="B540" s="5">
        <v>42474.0</v>
      </c>
      <c r="C540" s="4" t="str">
        <f t="shared" si="1"/>
        <v>555395744342474</v>
      </c>
      <c r="D540" s="4">
        <v>17022.0</v>
      </c>
      <c r="E540" s="13" t="str">
        <f t="shared" si="34"/>
        <v>HIGH</v>
      </c>
      <c r="F540" s="16">
        <f>VLOOKUP(C540,Sleep!C:F,4,FALSE)</f>
        <v>0.2479166667</v>
      </c>
      <c r="G540" s="12">
        <f>VLOOKUP(C540,Sleep!C:I,7,FALSE)</f>
        <v>0.8540669856</v>
      </c>
    </row>
    <row r="541">
      <c r="A541" s="4">
        <v>5.553957443E9</v>
      </c>
      <c r="B541" s="5">
        <v>42475.0</v>
      </c>
      <c r="C541" s="4" t="str">
        <f t="shared" si="1"/>
        <v>555395744342475</v>
      </c>
      <c r="D541" s="4">
        <v>16556.0</v>
      </c>
      <c r="E541" s="13" t="str">
        <f t="shared" si="34"/>
        <v>HIGH</v>
      </c>
      <c r="F541" s="16">
        <f>VLOOKUP(C541,Sleep!C:F,4,FALSE)</f>
        <v>0.2618055556</v>
      </c>
      <c r="G541" s="12">
        <f>VLOOKUP(C541,Sleep!C:I,7,FALSE)</f>
        <v>0.9217603912</v>
      </c>
    </row>
    <row r="542">
      <c r="A542" s="4">
        <v>5.553957443E9</v>
      </c>
      <c r="B542" s="5">
        <v>42476.0</v>
      </c>
      <c r="C542" s="4" t="str">
        <f t="shared" si="1"/>
        <v>555395744342476</v>
      </c>
      <c r="D542" s="4">
        <v>5771.0</v>
      </c>
      <c r="E542" s="13" t="str">
        <f t="shared" si="34"/>
        <v>MEDIUM</v>
      </c>
      <c r="F542" s="16">
        <f>VLOOKUP(C542,Sleep!C:F,4,FALSE)</f>
        <v>0.4520833333</v>
      </c>
      <c r="G542" s="12">
        <f>VLOOKUP(C542,Sleep!C:I,7,FALSE)</f>
        <v>0.9489795918</v>
      </c>
    </row>
    <row r="543">
      <c r="A543" s="4">
        <v>5.553957443E9</v>
      </c>
      <c r="B543" s="5">
        <v>42477.0</v>
      </c>
      <c r="C543" s="4" t="str">
        <f t="shared" si="1"/>
        <v>555395744342477</v>
      </c>
      <c r="D543" s="4">
        <v>655.0</v>
      </c>
      <c r="E543" s="13" t="str">
        <f t="shared" si="34"/>
        <v>LOW</v>
      </c>
      <c r="F543" s="16">
        <f>VLOOKUP(C543,Sleep!C:F,4,FALSE)</f>
        <v>0.2430555556</v>
      </c>
      <c r="G543" s="12">
        <f>VLOOKUP(C543,Sleep!C:I,7,FALSE)</f>
        <v>0.8706467662</v>
      </c>
    </row>
    <row r="544">
      <c r="A544" s="4">
        <v>5.553957443E9</v>
      </c>
      <c r="B544" s="5">
        <v>42478.0</v>
      </c>
      <c r="C544" s="4" t="str">
        <f t="shared" si="1"/>
        <v>555395744342478</v>
      </c>
      <c r="D544" s="4">
        <v>3727.0</v>
      </c>
      <c r="E544" s="13" t="str">
        <f t="shared" si="34"/>
        <v>LOW</v>
      </c>
      <c r="F544" s="16">
        <f>VLOOKUP(C544,Sleep!C:F,4,FALSE)</f>
        <v>0.3611111111</v>
      </c>
      <c r="G544" s="12">
        <f>VLOOKUP(C544,Sleep!C:I,7,FALSE)</f>
        <v>0.9611829945</v>
      </c>
    </row>
    <row r="545">
      <c r="A545" s="4">
        <v>5.553957443E9</v>
      </c>
      <c r="B545" s="5">
        <v>42479.0</v>
      </c>
      <c r="C545" s="4" t="str">
        <f t="shared" si="1"/>
        <v>555395744342479</v>
      </c>
      <c r="D545" s="4">
        <v>15482.0</v>
      </c>
      <c r="E545" s="13" t="str">
        <f t="shared" si="34"/>
        <v>HIGH</v>
      </c>
      <c r="F545" s="16">
        <f>VLOOKUP(C545,Sleep!C:F,4,FALSE)</f>
        <v>0.2479166667</v>
      </c>
      <c r="G545" s="12">
        <f>VLOOKUP(C545,Sleep!C:I,7,FALSE)</f>
        <v>0.8707317073</v>
      </c>
    </row>
    <row r="546">
      <c r="A546" s="4">
        <v>5.553957443E9</v>
      </c>
      <c r="B546" s="5">
        <v>42480.0</v>
      </c>
      <c r="C546" s="4" t="str">
        <f t="shared" si="1"/>
        <v>555395744342480</v>
      </c>
      <c r="D546" s="4">
        <v>2713.0</v>
      </c>
      <c r="E546" s="13" t="str">
        <f t="shared" si="34"/>
        <v>LOW</v>
      </c>
      <c r="F546" s="16">
        <f>VLOOKUP(C546,Sleep!C:F,4,FALSE)</f>
        <v>0.4569444444</v>
      </c>
      <c r="G546" s="12">
        <f>VLOOKUP(C546,Sleep!C:I,7,FALSE)</f>
        <v>0.9705014749</v>
      </c>
    </row>
    <row r="547">
      <c r="A547" s="4">
        <v>5.553957443E9</v>
      </c>
      <c r="B547" s="5">
        <v>42481.0</v>
      </c>
      <c r="C547" s="4" t="str">
        <f t="shared" si="1"/>
        <v>555395744342481</v>
      </c>
      <c r="D547" s="4">
        <v>12346.0</v>
      </c>
      <c r="E547" s="13" t="str">
        <f t="shared" si="34"/>
        <v>HIGH</v>
      </c>
      <c r="F547" s="16">
        <f>VLOOKUP(C547,Sleep!C:F,4,FALSE)</f>
        <v>0.2770833333</v>
      </c>
      <c r="G547" s="12">
        <f>VLOOKUP(C547,Sleep!C:I,7,FALSE)</f>
        <v>0.9257540603</v>
      </c>
    </row>
    <row r="548">
      <c r="A548" s="4">
        <v>5.553957443E9</v>
      </c>
      <c r="B548" s="5">
        <v>42482.0</v>
      </c>
      <c r="C548" s="4" t="str">
        <f t="shared" si="1"/>
        <v>555395744342482</v>
      </c>
      <c r="D548" s="4">
        <v>11682.0</v>
      </c>
      <c r="E548" s="13" t="str">
        <f t="shared" si="34"/>
        <v>HIGH</v>
      </c>
      <c r="F548" s="16">
        <f>VLOOKUP(C548,Sleep!C:F,4,FALSE)</f>
        <v>0.2236111111</v>
      </c>
      <c r="G548" s="12">
        <f>VLOOKUP(C548,Sleep!C:I,7,FALSE)</f>
        <v>0.9121813031</v>
      </c>
    </row>
    <row r="549">
      <c r="A549" s="4">
        <v>5.553957443E9</v>
      </c>
      <c r="B549" s="5">
        <v>42483.0</v>
      </c>
      <c r="C549" s="4" t="str">
        <f t="shared" si="1"/>
        <v>555395744342483</v>
      </c>
      <c r="D549" s="4">
        <v>4112.0</v>
      </c>
      <c r="E549" s="13" t="str">
        <f t="shared" si="34"/>
        <v>LOW</v>
      </c>
      <c r="F549" s="16">
        <f>VLOOKUP(C549,Sleep!C:F,4,FALSE)</f>
        <v>0.4381944444</v>
      </c>
      <c r="G549" s="12">
        <f>VLOOKUP(C549,Sleep!C:I,7,FALSE)</f>
        <v>0.8703448276</v>
      </c>
    </row>
    <row r="550">
      <c r="A550" s="4">
        <v>5.553957443E9</v>
      </c>
      <c r="B550" s="5">
        <v>42484.0</v>
      </c>
      <c r="C550" s="4" t="str">
        <f t="shared" si="1"/>
        <v>555395744342484</v>
      </c>
      <c r="D550" s="4">
        <v>1807.0</v>
      </c>
      <c r="E550" s="13" t="str">
        <f t="shared" si="34"/>
        <v>LOW</v>
      </c>
      <c r="F550" s="16">
        <f>VLOOKUP(C550,Sleep!C:F,4,FALSE)</f>
        <v>0.3840277778</v>
      </c>
      <c r="G550" s="12">
        <f>VLOOKUP(C550,Sleep!C:I,7,FALSE)</f>
        <v>0.8640625</v>
      </c>
    </row>
    <row r="551">
      <c r="A551" s="4">
        <v>5.553957443E9</v>
      </c>
      <c r="B551" s="5">
        <v>42485.0</v>
      </c>
      <c r="C551" s="4" t="str">
        <f t="shared" si="1"/>
        <v>555395744342485</v>
      </c>
      <c r="D551" s="4">
        <v>10946.0</v>
      </c>
      <c r="E551" s="13" t="str">
        <f t="shared" si="34"/>
        <v>HIGH</v>
      </c>
      <c r="F551" s="16">
        <f>VLOOKUP(C551,Sleep!C:F,4,FALSE)</f>
        <v>0.3006944444</v>
      </c>
      <c r="G551" s="12">
        <f>VLOOKUP(C551,Sleep!C:I,7,FALSE)</f>
        <v>0.9252136752</v>
      </c>
    </row>
    <row r="552">
      <c r="A552" s="4">
        <v>5.553957443E9</v>
      </c>
      <c r="B552" s="5">
        <v>42486.0</v>
      </c>
      <c r="C552" s="4" t="str">
        <f t="shared" si="1"/>
        <v>555395744342486</v>
      </c>
      <c r="D552" s="4">
        <v>11886.0</v>
      </c>
      <c r="E552" s="13" t="str">
        <f t="shared" si="34"/>
        <v>HIGH</v>
      </c>
      <c r="F552" s="16">
        <f>VLOOKUP(C552,Sleep!C:F,4,FALSE)</f>
        <v>0.2861111111</v>
      </c>
      <c r="G552" s="12">
        <f>VLOOKUP(C552,Sleep!C:I,7,FALSE)</f>
        <v>0.9094922737</v>
      </c>
    </row>
    <row r="553">
      <c r="A553" s="4">
        <v>5.553957443E9</v>
      </c>
      <c r="B553" s="5">
        <v>42487.0</v>
      </c>
      <c r="C553" s="4" t="str">
        <f t="shared" si="1"/>
        <v>555395744342487</v>
      </c>
      <c r="D553" s="4">
        <v>10538.0</v>
      </c>
      <c r="E553" s="13" t="str">
        <f t="shared" si="34"/>
        <v>HIGH</v>
      </c>
      <c r="F553" s="16">
        <f>VLOOKUP(C553,Sleep!C:F,4,FALSE)</f>
        <v>0.2409722222</v>
      </c>
      <c r="G553" s="12">
        <f>VLOOKUP(C553,Sleep!C:I,7,FALSE)</f>
        <v>0.8874680307</v>
      </c>
    </row>
    <row r="554">
      <c r="A554" s="4">
        <v>5.553957443E9</v>
      </c>
      <c r="B554" s="5">
        <v>42488.0</v>
      </c>
      <c r="C554" s="4" t="str">
        <f t="shared" si="1"/>
        <v>555395744342488</v>
      </c>
      <c r="D554" s="4">
        <v>11393.0</v>
      </c>
      <c r="E554" s="13" t="str">
        <f t="shared" si="34"/>
        <v>HIGH</v>
      </c>
      <c r="F554" s="16">
        <f>VLOOKUP(C554,Sleep!C:F,4,FALSE)</f>
        <v>0.2923611111</v>
      </c>
      <c r="G554" s="12">
        <f>VLOOKUP(C554,Sleep!C:I,7,FALSE)</f>
        <v>0.9212253829</v>
      </c>
    </row>
    <row r="555">
      <c r="A555" s="4">
        <v>5.553957443E9</v>
      </c>
      <c r="B555" s="5">
        <v>42489.0</v>
      </c>
      <c r="C555" s="4" t="str">
        <f t="shared" si="1"/>
        <v>555395744342489</v>
      </c>
      <c r="D555" s="4">
        <v>12764.0</v>
      </c>
      <c r="E555" s="13" t="str">
        <f t="shared" si="34"/>
        <v>HIGH</v>
      </c>
      <c r="F555" s="16">
        <f>VLOOKUP(C555,Sleep!C:F,4,FALSE)</f>
        <v>0.3125</v>
      </c>
      <c r="G555" s="12">
        <f>VLOOKUP(C555,Sleep!C:I,7,FALSE)</f>
        <v>0.9090909091</v>
      </c>
    </row>
    <row r="556">
      <c r="A556" s="4">
        <v>5.553957443E9</v>
      </c>
      <c r="B556" s="5">
        <v>42490.0</v>
      </c>
      <c r="C556" s="4" t="str">
        <f t="shared" si="1"/>
        <v>555395744342490</v>
      </c>
      <c r="D556" s="4">
        <v>1202.0</v>
      </c>
      <c r="E556" s="13" t="str">
        <f t="shared" si="34"/>
        <v>LOW</v>
      </c>
      <c r="F556" s="16">
        <f>VLOOKUP(C556,Sleep!C:F,4,FALSE)</f>
        <v>0.5381944444</v>
      </c>
      <c r="G556" s="12">
        <f>VLOOKUP(C556,Sleep!C:I,7,FALSE)</f>
        <v>0.9193357058</v>
      </c>
    </row>
    <row r="557">
      <c r="A557" s="4">
        <v>5.553957443E9</v>
      </c>
      <c r="B557" s="5">
        <v>42491.0</v>
      </c>
      <c r="C557" s="4" t="str">
        <f t="shared" si="1"/>
        <v>555395744342491</v>
      </c>
      <c r="D557" s="4">
        <v>5164.0</v>
      </c>
      <c r="E557" s="13" t="str">
        <f t="shared" si="34"/>
        <v>MEDIUM</v>
      </c>
      <c r="F557" s="16">
        <f>VLOOKUP(C557,Sleep!C:F,4,FALSE)</f>
        <v>0.4319444444</v>
      </c>
      <c r="G557" s="12">
        <f>VLOOKUP(C557,Sleep!C:I,7,FALSE)</f>
        <v>0.9067055394</v>
      </c>
    </row>
    <row r="558">
      <c r="A558" s="4">
        <v>5.553957443E9</v>
      </c>
      <c r="B558" s="5">
        <v>42492.0</v>
      </c>
      <c r="C558" s="4" t="str">
        <f t="shared" si="1"/>
        <v>555395744342492</v>
      </c>
      <c r="D558" s="4">
        <v>9769.0</v>
      </c>
      <c r="E558" s="13" t="str">
        <f t="shared" si="34"/>
        <v>MEDIUM</v>
      </c>
      <c r="F558" s="16">
        <f>VLOOKUP(C558,Sleep!C:F,4,FALSE)</f>
        <v>0.2840277778</v>
      </c>
      <c r="G558" s="12">
        <f>VLOOKUP(C558,Sleep!C:I,7,FALSE)</f>
        <v>0.8683651805</v>
      </c>
    </row>
    <row r="559">
      <c r="A559" s="4">
        <v>5.553957443E9</v>
      </c>
      <c r="B559" s="5">
        <v>42493.0</v>
      </c>
      <c r="C559" s="4" t="str">
        <f t="shared" si="1"/>
        <v>555395744342493</v>
      </c>
      <c r="D559" s="4">
        <v>12848.0</v>
      </c>
      <c r="E559" s="13" t="str">
        <f t="shared" si="34"/>
        <v>HIGH</v>
      </c>
      <c r="F559" s="16">
        <f>VLOOKUP(C559,Sleep!C:F,4,FALSE)</f>
        <v>0.2638888889</v>
      </c>
      <c r="G559" s="12">
        <f>VLOOKUP(C559,Sleep!C:I,7,FALSE)</f>
        <v>0.8857808858</v>
      </c>
    </row>
    <row r="560">
      <c r="A560" s="4">
        <v>5.553957443E9</v>
      </c>
      <c r="B560" s="5">
        <v>42494.0</v>
      </c>
      <c r="C560" s="4" t="str">
        <f t="shared" si="1"/>
        <v>555395744342494</v>
      </c>
      <c r="D560" s="4">
        <v>4249.0</v>
      </c>
      <c r="E560" s="13" t="str">
        <f t="shared" si="34"/>
        <v>LOW</v>
      </c>
      <c r="F560" s="16">
        <f>VLOOKUP(C560,Sleep!C:F,4,FALSE)</f>
        <v>0.3104166667</v>
      </c>
      <c r="G560" s="12">
        <f>VLOOKUP(C560,Sleep!C:I,7,FALSE)</f>
        <v>0.9510638298</v>
      </c>
    </row>
    <row r="561">
      <c r="A561" s="4">
        <v>5.553957443E9</v>
      </c>
      <c r="B561" s="5">
        <v>42495.0</v>
      </c>
      <c r="C561" s="4" t="str">
        <f t="shared" si="1"/>
        <v>555395744342495</v>
      </c>
      <c r="D561" s="4">
        <v>14331.0</v>
      </c>
      <c r="E561" s="13" t="str">
        <f t="shared" si="34"/>
        <v>HIGH</v>
      </c>
      <c r="F561" s="16">
        <f>VLOOKUP(C561,Sleep!C:F,4,FALSE)</f>
        <v>0.2909722222</v>
      </c>
      <c r="G561" s="12">
        <f>VLOOKUP(C561,Sleep!C:I,7,FALSE)</f>
        <v>0.9030172414</v>
      </c>
    </row>
    <row r="562">
      <c r="A562" s="4">
        <v>5.553957443E9</v>
      </c>
      <c r="B562" s="5">
        <v>42496.0</v>
      </c>
      <c r="C562" s="4" t="str">
        <f t="shared" si="1"/>
        <v>555395744342496</v>
      </c>
      <c r="D562" s="4">
        <v>9632.0</v>
      </c>
      <c r="E562" s="13" t="str">
        <f t="shared" si="34"/>
        <v>MEDIUM</v>
      </c>
      <c r="F562" s="16">
        <f>VLOOKUP(C562,Sleep!C:F,4,FALSE)</f>
        <v>0.2777777778</v>
      </c>
      <c r="G562" s="12">
        <f>VLOOKUP(C562,Sleep!C:I,7,FALSE)</f>
        <v>0.9216589862</v>
      </c>
    </row>
    <row r="563">
      <c r="A563" s="4">
        <v>5.553957443E9</v>
      </c>
      <c r="B563" s="5">
        <v>42497.0</v>
      </c>
      <c r="C563" s="4" t="str">
        <f t="shared" si="1"/>
        <v>555395744342497</v>
      </c>
      <c r="D563" s="4">
        <v>1868.0</v>
      </c>
      <c r="E563" s="13" t="str">
        <f t="shared" si="34"/>
        <v>LOW</v>
      </c>
      <c r="F563" s="16">
        <f>VLOOKUP(C563,Sleep!C:F,4,FALSE)</f>
        <v>0.3069444444</v>
      </c>
      <c r="G563" s="12">
        <f>VLOOKUP(C563,Sleep!C:I,7,FALSE)</f>
        <v>0.9404255319</v>
      </c>
    </row>
    <row r="564">
      <c r="A564" s="4">
        <v>5.553957443E9</v>
      </c>
      <c r="B564" s="5">
        <v>42498.0</v>
      </c>
      <c r="C564" s="4" t="str">
        <f t="shared" si="1"/>
        <v>555395744342498</v>
      </c>
      <c r="D564" s="4">
        <v>6083.0</v>
      </c>
      <c r="E564" s="13" t="str">
        <f t="shared" si="34"/>
        <v>MEDIUM</v>
      </c>
      <c r="F564" s="16">
        <f>VLOOKUP(C564,Sleep!C:F,4,FALSE)</f>
        <v>0.3944444444</v>
      </c>
      <c r="G564" s="12">
        <f>VLOOKUP(C564,Sleep!C:I,7,FALSE)</f>
        <v>0.9342105263</v>
      </c>
    </row>
    <row r="565">
      <c r="A565" s="4">
        <v>5.553957443E9</v>
      </c>
      <c r="B565" s="5">
        <v>42499.0</v>
      </c>
      <c r="C565" s="4" t="str">
        <f t="shared" si="1"/>
        <v>555395744342499</v>
      </c>
      <c r="D565" s="4">
        <v>11611.0</v>
      </c>
      <c r="E565" s="13" t="str">
        <f t="shared" si="34"/>
        <v>HIGH</v>
      </c>
      <c r="F565" s="16">
        <f>VLOOKUP(C565,Sleep!C:F,4,FALSE)</f>
        <v>0.3145833333</v>
      </c>
      <c r="G565" s="12">
        <f>VLOOKUP(C565,Sleep!C:I,7,FALSE)</f>
        <v>0.9170040486</v>
      </c>
    </row>
    <row r="566">
      <c r="A566" s="4">
        <v>5.553957443E9</v>
      </c>
      <c r="B566" s="5">
        <v>42500.0</v>
      </c>
      <c r="C566" s="4" t="str">
        <f t="shared" si="1"/>
        <v>555395744342500</v>
      </c>
      <c r="D566" s="4">
        <v>16358.0</v>
      </c>
      <c r="E566" s="13" t="str">
        <f t="shared" si="34"/>
        <v>HIGH</v>
      </c>
      <c r="F566" s="16">
        <f>VLOOKUP(C566,Sleep!C:F,4,FALSE)</f>
        <v>0.2902777778</v>
      </c>
      <c r="G566" s="12">
        <f>VLOOKUP(C566,Sleep!C:I,7,FALSE)</f>
        <v>0.9435665914</v>
      </c>
    </row>
    <row r="567">
      <c r="A567" s="4">
        <v>5.553957443E9</v>
      </c>
      <c r="B567" s="5">
        <v>42501.0</v>
      </c>
      <c r="C567" s="4" t="str">
        <f t="shared" si="1"/>
        <v>555395744342501</v>
      </c>
      <c r="D567" s="4">
        <v>4926.0</v>
      </c>
      <c r="E567" s="13" t="str">
        <f t="shared" si="34"/>
        <v>LOW</v>
      </c>
      <c r="F567" s="16">
        <f>VLOOKUP(C567,Sleep!C:F,4,FALSE)</f>
        <v>0.3215277778</v>
      </c>
      <c r="G567" s="12">
        <f>VLOOKUP(C567,Sleep!C:I,7,FALSE)</f>
        <v>0.9526748971</v>
      </c>
    </row>
    <row r="568">
      <c r="A568" s="4">
        <v>5.553957443E9</v>
      </c>
      <c r="B568" s="5">
        <v>42502.0</v>
      </c>
      <c r="C568" s="4" t="str">
        <f t="shared" si="1"/>
        <v>555395744342502</v>
      </c>
      <c r="D568" s="4">
        <v>3121.0</v>
      </c>
      <c r="E568" s="13" t="str">
        <f t="shared" si="34"/>
        <v>LOW</v>
      </c>
      <c r="F568" s="16">
        <f>VLOOKUP(C568,Sleep!C:F,4,FALSE)</f>
        <v>0.3041666667</v>
      </c>
      <c r="G568" s="12">
        <f>VLOOKUP(C568,Sleep!C:I,7,FALSE)</f>
        <v>0.9221052632</v>
      </c>
    </row>
    <row r="569">
      <c r="A569" s="4">
        <v>5.577150313E9</v>
      </c>
      <c r="B569" s="5">
        <v>42472.0</v>
      </c>
      <c r="C569" s="4" t="str">
        <f t="shared" si="1"/>
        <v>557715031342472</v>
      </c>
      <c r="D569" s="4">
        <v>8135.0</v>
      </c>
      <c r="E569" s="13" t="str">
        <f t="shared" si="34"/>
        <v>MEDIUM</v>
      </c>
      <c r="F569" s="16">
        <f>VLOOKUP(C569,Sleep!C:F,4,FALSE)</f>
        <v>0.2909722222</v>
      </c>
      <c r="G569" s="12">
        <f>VLOOKUP(C569,Sleep!C:I,7,FALSE)</f>
        <v>0.9566210046</v>
      </c>
    </row>
    <row r="570">
      <c r="A570" s="4">
        <v>5.577150313E9</v>
      </c>
      <c r="B570" s="5">
        <v>42473.0</v>
      </c>
      <c r="C570" s="4" t="str">
        <f t="shared" si="1"/>
        <v>557715031342473</v>
      </c>
      <c r="D570" s="4">
        <v>5077.0</v>
      </c>
      <c r="E570" s="13" t="str">
        <f t="shared" si="34"/>
        <v>MEDIUM</v>
      </c>
      <c r="F570" s="16">
        <f>VLOOKUP(C570,Sleep!C:F,4,FALSE)</f>
        <v>0.3</v>
      </c>
      <c r="G570" s="12">
        <f>VLOOKUP(C570,Sleep!C:I,7,FALSE)</f>
        <v>0.943231441</v>
      </c>
    </row>
    <row r="571">
      <c r="A571" s="4">
        <v>5.577150313E9</v>
      </c>
      <c r="B571" s="5">
        <v>42474.0</v>
      </c>
      <c r="C571" s="4" t="str">
        <f t="shared" si="1"/>
        <v>557715031342474</v>
      </c>
      <c r="D571" s="4">
        <v>8596.0</v>
      </c>
      <c r="E571" s="13" t="str">
        <f t="shared" si="34"/>
        <v>MEDIUM</v>
      </c>
      <c r="F571" s="16">
        <f>VLOOKUP(C571,Sleep!C:F,4,FALSE)</f>
        <v>0.33125</v>
      </c>
      <c r="G571" s="12">
        <f>VLOOKUP(C571,Sleep!C:I,7,FALSE)</f>
        <v>0.9597585513</v>
      </c>
    </row>
    <row r="572">
      <c r="A572" s="4">
        <v>5.577150313E9</v>
      </c>
      <c r="B572" s="5">
        <v>42475.0</v>
      </c>
      <c r="C572" s="4" t="str">
        <f t="shared" si="1"/>
        <v>557715031342475</v>
      </c>
      <c r="D572" s="4">
        <v>12087.0</v>
      </c>
      <c r="E572" s="13" t="str">
        <f t="shared" si="34"/>
        <v>HIGH</v>
      </c>
      <c r="F572" s="16">
        <f>VLOOKUP(C572,Sleep!C:F,4,FALSE)</f>
        <v>0.2722222222</v>
      </c>
      <c r="G572" s="12">
        <f>VLOOKUP(C572,Sleep!C:I,7,FALSE)</f>
        <v>0.9491525424</v>
      </c>
    </row>
    <row r="573">
      <c r="A573" s="4">
        <v>5.577150313E9</v>
      </c>
      <c r="B573" s="5">
        <v>42476.0</v>
      </c>
      <c r="C573" s="4" t="str">
        <f t="shared" si="1"/>
        <v>557715031342476</v>
      </c>
      <c r="D573" s="4">
        <v>14269.0</v>
      </c>
      <c r="E573" s="13" t="str">
        <f t="shared" si="34"/>
        <v>HIGH</v>
      </c>
      <c r="F573" s="16">
        <f>VLOOKUP(C573,Sleep!C:F,4,FALSE)</f>
        <v>0.2819444444</v>
      </c>
      <c r="G573" s="12">
        <f>VLOOKUP(C573,Sleep!C:I,7,FALSE)</f>
        <v>0.9123595506</v>
      </c>
    </row>
    <row r="574">
      <c r="A574" s="4">
        <v>5.577150313E9</v>
      </c>
      <c r="B574" s="5">
        <v>42477.0</v>
      </c>
      <c r="C574" s="4" t="str">
        <f t="shared" si="1"/>
        <v>557715031342477</v>
      </c>
      <c r="D574" s="4">
        <v>12231.0</v>
      </c>
      <c r="E574" s="13" t="str">
        <f t="shared" si="34"/>
        <v>HIGH</v>
      </c>
      <c r="F574" s="16">
        <f>VLOOKUP(C574,Sleep!C:F,4,FALSE)</f>
        <v>0.38125</v>
      </c>
      <c r="G574" s="12">
        <f>VLOOKUP(C574,Sleep!C:I,7,FALSE)</f>
        <v>0.9416809605</v>
      </c>
    </row>
    <row r="575">
      <c r="A575" s="4">
        <v>5.577150313E9</v>
      </c>
      <c r="B575" s="5">
        <v>42478.0</v>
      </c>
      <c r="C575" s="4" t="str">
        <f t="shared" si="1"/>
        <v>557715031342478</v>
      </c>
      <c r="D575" s="4">
        <v>9893.0</v>
      </c>
      <c r="E575" s="13" t="str">
        <f t="shared" si="34"/>
        <v>MEDIUM</v>
      </c>
      <c r="F575" s="16">
        <f>VLOOKUP(C575,Sleep!C:F,4,FALSE)</f>
        <v>0.3659722222</v>
      </c>
      <c r="G575" s="12">
        <f>VLOOKUP(C575,Sleep!C:I,7,FALSE)</f>
        <v>0.9529837251</v>
      </c>
    </row>
    <row r="576">
      <c r="A576" s="4">
        <v>5.577150313E9</v>
      </c>
      <c r="B576" s="5">
        <v>42479.0</v>
      </c>
      <c r="C576" s="4" t="str">
        <f t="shared" si="1"/>
        <v>557715031342479</v>
      </c>
      <c r="D576" s="4">
        <v>12574.0</v>
      </c>
      <c r="E576" s="13" t="str">
        <f t="shared" si="34"/>
        <v>HIGH</v>
      </c>
      <c r="F576" s="16">
        <f>VLOOKUP(C576,Sleep!C:F,4,FALSE)</f>
        <v>0.3118055556</v>
      </c>
      <c r="G576" s="12">
        <f>VLOOKUP(C576,Sleep!C:I,7,FALSE)</f>
        <v>0.9655913978</v>
      </c>
    </row>
    <row r="577">
      <c r="A577" s="4">
        <v>5.577150313E9</v>
      </c>
      <c r="B577" s="5">
        <v>42480.0</v>
      </c>
      <c r="C577" s="4" t="str">
        <f t="shared" si="1"/>
        <v>557715031342480</v>
      </c>
      <c r="D577" s="4">
        <v>8330.0</v>
      </c>
      <c r="E577" s="13" t="str">
        <f t="shared" si="34"/>
        <v>MEDIUM</v>
      </c>
      <c r="F577" s="16">
        <f>VLOOKUP(C577,Sleep!C:F,4,FALSE)</f>
        <v>0.3104166667</v>
      </c>
      <c r="G577" s="12">
        <f>VLOOKUP(C577,Sleep!C:I,7,FALSE)</f>
        <v>0.93125</v>
      </c>
    </row>
    <row r="578">
      <c r="A578" s="4">
        <v>5.577150313E9</v>
      </c>
      <c r="B578" s="5">
        <v>42481.0</v>
      </c>
      <c r="C578" s="4" t="str">
        <f t="shared" si="1"/>
        <v>557715031342481</v>
      </c>
      <c r="D578" s="4">
        <v>10830.0</v>
      </c>
      <c r="E578" s="13" t="str">
        <f t="shared" si="34"/>
        <v>HIGH</v>
      </c>
      <c r="F578" s="16">
        <f>VLOOKUP(C578,Sleep!C:F,4,FALSE)</f>
        <v>0.2875</v>
      </c>
      <c r="G578" s="12">
        <f>VLOOKUP(C578,Sleep!C:I,7,FALSE)</f>
        <v>0.9473684211</v>
      </c>
    </row>
    <row r="579">
      <c r="A579" s="4">
        <v>5.577150313E9</v>
      </c>
      <c r="B579" s="5">
        <v>42482.0</v>
      </c>
      <c r="C579" s="4" t="str">
        <f t="shared" si="1"/>
        <v>557715031342482</v>
      </c>
      <c r="D579" s="4">
        <v>9172.0</v>
      </c>
      <c r="E579" s="13" t="str">
        <f t="shared" si="34"/>
        <v>MEDIUM</v>
      </c>
      <c r="F579" s="16">
        <f>VLOOKUP(C579,Sleep!C:F,4,FALSE)</f>
        <v>0.2347222222</v>
      </c>
      <c r="G579" s="12">
        <f>VLOOKUP(C579,Sleep!C:I,7,FALSE)</f>
        <v>0.9234972678</v>
      </c>
    </row>
    <row r="580">
      <c r="A580" s="4">
        <v>5.577150313E9</v>
      </c>
      <c r="B580" s="5">
        <v>42483.0</v>
      </c>
      <c r="C580" s="4" t="str">
        <f t="shared" si="1"/>
        <v>557715031342483</v>
      </c>
      <c r="D580" s="4">
        <v>7638.0</v>
      </c>
      <c r="E580" s="13" t="str">
        <f t="shared" si="34"/>
        <v>MEDIUM</v>
      </c>
      <c r="F580" s="16">
        <f>VLOOKUP(C580,Sleep!C:F,4,FALSE)</f>
        <v>0.2666666667</v>
      </c>
      <c r="G580" s="12">
        <f>VLOOKUP(C580,Sleep!C:I,7,FALSE)</f>
        <v>0.9552238806</v>
      </c>
    </row>
    <row r="581">
      <c r="A581" s="4">
        <v>5.577150313E9</v>
      </c>
      <c r="B581" s="5">
        <v>42484.0</v>
      </c>
      <c r="C581" s="4" t="str">
        <f t="shared" si="1"/>
        <v>557715031342484</v>
      </c>
      <c r="D581" s="4">
        <v>15764.0</v>
      </c>
      <c r="E581" s="13" t="str">
        <f t="shared" si="34"/>
        <v>HIGH</v>
      </c>
      <c r="F581" s="16">
        <f>VLOOKUP(C581,Sleep!C:F,4,FALSE)</f>
        <v>0.3770833333</v>
      </c>
      <c r="G581" s="12">
        <f>VLOOKUP(C581,Sleep!C:I,7,FALSE)</f>
        <v>0.8829268293</v>
      </c>
    </row>
    <row r="582">
      <c r="A582" s="4">
        <v>5.577150313E9</v>
      </c>
      <c r="B582" s="5">
        <v>42485.0</v>
      </c>
      <c r="C582" s="4" t="str">
        <f t="shared" si="1"/>
        <v>557715031342485</v>
      </c>
      <c r="D582" s="4">
        <v>6393.0</v>
      </c>
      <c r="E582" s="13" t="str">
        <f t="shared" si="34"/>
        <v>MEDIUM</v>
      </c>
      <c r="F582" s="16">
        <f>VLOOKUP(C582,Sleep!C:F,4,FALSE)</f>
        <v>0.2923611111</v>
      </c>
      <c r="G582" s="12">
        <f>VLOOKUP(C582,Sleep!C:I,7,FALSE)</f>
        <v>0.9132321041</v>
      </c>
    </row>
    <row r="583">
      <c r="A583" s="4">
        <v>5.577150313E9</v>
      </c>
      <c r="B583" s="5">
        <v>42486.0</v>
      </c>
      <c r="C583" s="4" t="str">
        <f t="shared" si="1"/>
        <v>557715031342486</v>
      </c>
      <c r="D583" s="4">
        <v>5325.0</v>
      </c>
      <c r="E583" s="13" t="str">
        <f t="shared" si="34"/>
        <v>MEDIUM</v>
      </c>
      <c r="F583" s="16">
        <f>VLOOKUP(C583,Sleep!C:F,4,FALSE)</f>
        <v>0.2458333333</v>
      </c>
      <c r="G583" s="12">
        <f>VLOOKUP(C583,Sleep!C:I,7,FALSE)</f>
        <v>0.9389920424</v>
      </c>
    </row>
    <row r="584">
      <c r="A584" s="4">
        <v>5.577150313E9</v>
      </c>
      <c r="B584" s="5">
        <v>42487.0</v>
      </c>
      <c r="C584" s="4" t="str">
        <f t="shared" si="1"/>
        <v>557715031342487</v>
      </c>
      <c r="D584" s="4">
        <v>6805.0</v>
      </c>
      <c r="E584" s="13" t="str">
        <f t="shared" si="34"/>
        <v>MEDIUM</v>
      </c>
      <c r="F584" s="16">
        <f>VLOOKUP(C584,Sleep!C:F,4,FALSE)</f>
        <v>0.2944444444</v>
      </c>
      <c r="G584" s="12">
        <f>VLOOKUP(C584,Sleep!C:I,7,FALSE)</f>
        <v>0.9380530973</v>
      </c>
    </row>
    <row r="585">
      <c r="A585" s="4">
        <v>5.577150313E9</v>
      </c>
      <c r="B585" s="5">
        <v>42488.0</v>
      </c>
      <c r="C585" s="4" t="str">
        <f t="shared" si="1"/>
        <v>557715031342488</v>
      </c>
      <c r="D585" s="4">
        <v>9841.0</v>
      </c>
      <c r="E585" s="13" t="str">
        <f t="shared" si="34"/>
        <v>MEDIUM</v>
      </c>
      <c r="F585" s="16">
        <f>VLOOKUP(C585,Sleep!C:F,4,FALSE)</f>
        <v>0.2506944444</v>
      </c>
      <c r="G585" s="12">
        <f>VLOOKUP(C585,Sleep!C:I,7,FALSE)</f>
        <v>0.9704301075</v>
      </c>
    </row>
    <row r="586">
      <c r="A586" s="4">
        <v>5.577150313E9</v>
      </c>
      <c r="B586" s="5">
        <v>42489.0</v>
      </c>
      <c r="C586" s="4" t="str">
        <f t="shared" si="1"/>
        <v>557715031342489</v>
      </c>
      <c r="D586" s="4">
        <v>7924.0</v>
      </c>
      <c r="E586" s="13" t="str">
        <f t="shared" si="34"/>
        <v>MEDIUM</v>
      </c>
      <c r="F586" s="16">
        <f>VLOOKUP(C586,Sleep!C:F,4,FALSE)</f>
        <v>0.31875</v>
      </c>
      <c r="G586" s="12">
        <f>VLOOKUP(C586,Sleep!C:I,7,FALSE)</f>
        <v>0.9463917526</v>
      </c>
    </row>
    <row r="587">
      <c r="A587" s="4">
        <v>5.577150313E9</v>
      </c>
      <c r="B587" s="5">
        <v>42490.0</v>
      </c>
      <c r="C587" s="4" t="str">
        <f t="shared" si="1"/>
        <v>557715031342490</v>
      </c>
      <c r="D587" s="4">
        <v>12363.0</v>
      </c>
      <c r="E587" s="13" t="str">
        <f t="shared" si="34"/>
        <v>HIGH</v>
      </c>
      <c r="F587" s="16">
        <f>VLOOKUP(C587,Sleep!C:F,4,FALSE)</f>
        <v>0.2861111111</v>
      </c>
      <c r="G587" s="12">
        <f>VLOOKUP(C587,Sleep!C:I,7,FALSE)</f>
        <v>0.9515011547</v>
      </c>
    </row>
    <row r="588">
      <c r="A588" s="4">
        <v>5.577150313E9</v>
      </c>
      <c r="B588" s="5">
        <v>42491.0</v>
      </c>
      <c r="C588" s="4" t="str">
        <f t="shared" si="1"/>
        <v>557715031342491</v>
      </c>
      <c r="D588" s="4">
        <v>13368.0</v>
      </c>
      <c r="E588" s="13" t="str">
        <f t="shared" si="34"/>
        <v>HIGH</v>
      </c>
      <c r="F588" s="16">
        <f>VLOOKUP(C588,Sleep!C:F,4,FALSE)</f>
        <v>0.2631944444</v>
      </c>
      <c r="G588" s="12">
        <f>VLOOKUP(C588,Sleep!C:I,7,FALSE)</f>
        <v>0.9522613065</v>
      </c>
    </row>
    <row r="589">
      <c r="A589" s="4">
        <v>5.577150313E9</v>
      </c>
      <c r="B589" s="5">
        <v>42492.0</v>
      </c>
      <c r="C589" s="4" t="str">
        <f t="shared" si="1"/>
        <v>557715031342492</v>
      </c>
      <c r="D589" s="4">
        <v>7439.0</v>
      </c>
      <c r="E589" s="13" t="str">
        <f t="shared" si="34"/>
        <v>MEDIUM</v>
      </c>
      <c r="F589" s="16">
        <f>VLOOKUP(C589,Sleep!C:F,4,FALSE)</f>
        <v>0.3645833333</v>
      </c>
      <c r="G589" s="12">
        <f>VLOOKUP(C589,Sleep!C:I,7,FALSE)</f>
        <v>0.9493670886</v>
      </c>
    </row>
    <row r="590">
      <c r="A590" s="4">
        <v>5.577150313E9</v>
      </c>
      <c r="B590" s="5">
        <v>42493.0</v>
      </c>
      <c r="C590" s="4" t="str">
        <f t="shared" si="1"/>
        <v>557715031342493</v>
      </c>
      <c r="D590" s="4">
        <v>11045.0</v>
      </c>
      <c r="E590" s="13" t="str">
        <f t="shared" si="34"/>
        <v>HIGH</v>
      </c>
      <c r="F590" s="16">
        <f>VLOOKUP(C590,Sleep!C:F,4,FALSE)</f>
        <v>0.3527777778</v>
      </c>
      <c r="G590" s="12">
        <f>VLOOKUP(C590,Sleep!C:I,7,FALSE)</f>
        <v>0.9355432781</v>
      </c>
    </row>
    <row r="591">
      <c r="A591" s="4">
        <v>5.577150313E9</v>
      </c>
      <c r="B591" s="5">
        <v>42494.0</v>
      </c>
      <c r="C591" s="4" t="str">
        <f t="shared" si="1"/>
        <v>557715031342494</v>
      </c>
      <c r="D591" s="4">
        <v>5206.0</v>
      </c>
      <c r="E591" s="13" t="str">
        <f t="shared" si="34"/>
        <v>MEDIUM</v>
      </c>
      <c r="F591" s="16">
        <f>VLOOKUP(C591,Sleep!C:F,4,FALSE)</f>
        <v>0.41875</v>
      </c>
      <c r="G591" s="12">
        <f>VLOOKUP(C591,Sleep!C:I,7,FALSE)</f>
        <v>0.9511041009</v>
      </c>
    </row>
    <row r="592">
      <c r="A592" s="4">
        <v>5.577150313E9</v>
      </c>
      <c r="B592" s="5">
        <v>42495.0</v>
      </c>
      <c r="C592" s="4" t="str">
        <f t="shared" si="1"/>
        <v>557715031342495</v>
      </c>
      <c r="D592" s="4">
        <v>7550.0</v>
      </c>
      <c r="E592" s="13" t="str">
        <f t="shared" si="34"/>
        <v>MEDIUM</v>
      </c>
      <c r="F592" s="16">
        <f>VLOOKUP(C592,Sleep!C:F,4,FALSE)</f>
        <v>0.05138888889</v>
      </c>
      <c r="G592" s="12">
        <f>VLOOKUP(C592,Sleep!C:I,7,FALSE)</f>
        <v>0.9487179487</v>
      </c>
    </row>
    <row r="593" hidden="1">
      <c r="A593" s="4">
        <v>5.577150313E9</v>
      </c>
      <c r="B593" s="5">
        <v>42496.0</v>
      </c>
      <c r="C593" s="4" t="str">
        <f t="shared" si="1"/>
        <v>557715031342496</v>
      </c>
      <c r="D593" s="4">
        <v>4950.0</v>
      </c>
      <c r="E593" s="4"/>
      <c r="F593" s="13" t="str">
        <f>VLOOKUP(C593,Sleep!C:F,4,FALSE)</f>
        <v>#N/A</v>
      </c>
    </row>
    <row r="594" hidden="1">
      <c r="A594" s="4">
        <v>5.577150313E9</v>
      </c>
      <c r="B594" s="5">
        <v>42497.0</v>
      </c>
      <c r="C594" s="4" t="str">
        <f t="shared" si="1"/>
        <v>557715031342497</v>
      </c>
      <c r="D594" s="4">
        <v>0.0</v>
      </c>
      <c r="E594" s="4"/>
      <c r="F594" s="13" t="str">
        <f>VLOOKUP(C594,Sleep!C:F,4,FALSE)</f>
        <v>#N/A</v>
      </c>
    </row>
    <row r="595" hidden="1">
      <c r="A595" s="4">
        <v>5.577150313E9</v>
      </c>
      <c r="B595" s="5">
        <v>42498.0</v>
      </c>
      <c r="C595" s="4" t="str">
        <f t="shared" si="1"/>
        <v>557715031342498</v>
      </c>
      <c r="D595" s="4">
        <v>0.0</v>
      </c>
      <c r="E595" s="4"/>
      <c r="F595" s="13" t="str">
        <f>VLOOKUP(C595,Sleep!C:F,4,FALSE)</f>
        <v>#N/A</v>
      </c>
    </row>
    <row r="596" hidden="1">
      <c r="A596" s="4">
        <v>5.577150313E9</v>
      </c>
      <c r="B596" s="5">
        <v>42499.0</v>
      </c>
      <c r="C596" s="4" t="str">
        <f t="shared" si="1"/>
        <v>557715031342499</v>
      </c>
      <c r="D596" s="4">
        <v>3421.0</v>
      </c>
      <c r="E596" s="4"/>
      <c r="F596" s="13" t="str">
        <f>VLOOKUP(C596,Sleep!C:F,4,FALSE)</f>
        <v>#N/A</v>
      </c>
    </row>
    <row r="597">
      <c r="A597" s="4">
        <v>5.577150313E9</v>
      </c>
      <c r="B597" s="5">
        <v>42500.0</v>
      </c>
      <c r="C597" s="4" t="str">
        <f t="shared" si="1"/>
        <v>557715031342500</v>
      </c>
      <c r="D597" s="4">
        <v>8869.0</v>
      </c>
      <c r="E597" s="13" t="str">
        <f t="shared" ref="E597:E598" si="35">IF(D597&lt;5000, "LOW",IF(D597&lt;10000,"MEDIUM","HIGH"))</f>
        <v>MEDIUM</v>
      </c>
      <c r="F597" s="16">
        <f>VLOOKUP(C597,Sleep!C:F,4,FALSE)</f>
        <v>0.35</v>
      </c>
      <c r="G597" s="12">
        <f>VLOOKUP(C597,Sleep!C:I,7,FALSE)</f>
        <v>0.896797153</v>
      </c>
    </row>
    <row r="598">
      <c r="A598" s="4">
        <v>5.577150313E9</v>
      </c>
      <c r="B598" s="5">
        <v>42501.0</v>
      </c>
      <c r="C598" s="4" t="str">
        <f t="shared" si="1"/>
        <v>557715031342501</v>
      </c>
      <c r="D598" s="4">
        <v>4038.0</v>
      </c>
      <c r="E598" s="13" t="str">
        <f t="shared" si="35"/>
        <v>LOW</v>
      </c>
      <c r="F598" s="16">
        <f>VLOOKUP(C598,Sleep!C:F,4,FALSE)</f>
        <v>0.2993055556</v>
      </c>
      <c r="G598" s="12">
        <f>VLOOKUP(C598,Sleep!C:I,7,FALSE)</f>
        <v>0.9054621849</v>
      </c>
    </row>
    <row r="599" hidden="1">
      <c r="A599" s="4">
        <v>6.11766616E9</v>
      </c>
      <c r="B599" s="5">
        <v>42472.0</v>
      </c>
      <c r="C599" s="4" t="str">
        <f t="shared" si="1"/>
        <v>611766616042472</v>
      </c>
      <c r="D599" s="4">
        <v>0.0</v>
      </c>
      <c r="E599" s="4"/>
      <c r="F599" s="13" t="str">
        <f>VLOOKUP(C599,Sleep!C:F,4,FALSE)</f>
        <v>#N/A</v>
      </c>
    </row>
    <row r="600" hidden="1">
      <c r="A600" s="4">
        <v>6.11766616E9</v>
      </c>
      <c r="B600" s="5">
        <v>42473.0</v>
      </c>
      <c r="C600" s="4" t="str">
        <f t="shared" si="1"/>
        <v>611766616042473</v>
      </c>
      <c r="D600" s="4">
        <v>0.0</v>
      </c>
      <c r="E600" s="4"/>
      <c r="F600" s="13" t="str">
        <f>VLOOKUP(C600,Sleep!C:F,4,FALSE)</f>
        <v>#N/A</v>
      </c>
    </row>
    <row r="601" hidden="1">
      <c r="A601" s="4">
        <v>6.11766616E9</v>
      </c>
      <c r="B601" s="5">
        <v>42474.0</v>
      </c>
      <c r="C601" s="4" t="str">
        <f t="shared" si="1"/>
        <v>611766616042474</v>
      </c>
      <c r="D601" s="4">
        <v>0.0</v>
      </c>
      <c r="E601" s="4"/>
      <c r="F601" s="13" t="str">
        <f>VLOOKUP(C601,Sleep!C:F,4,FALSE)</f>
        <v>#N/A</v>
      </c>
    </row>
    <row r="602" hidden="1">
      <c r="A602" s="4">
        <v>6.11766616E9</v>
      </c>
      <c r="B602" s="5">
        <v>42475.0</v>
      </c>
      <c r="C602" s="4" t="str">
        <f t="shared" si="1"/>
        <v>611766616042475</v>
      </c>
      <c r="D602" s="4">
        <v>14019.0</v>
      </c>
      <c r="E602" s="4"/>
      <c r="F602" s="13" t="str">
        <f>VLOOKUP(C602,Sleep!C:F,4,FALSE)</f>
        <v>#N/A</v>
      </c>
    </row>
    <row r="603">
      <c r="A603" s="4">
        <v>6.11766616E9</v>
      </c>
      <c r="B603" s="5">
        <v>42476.0</v>
      </c>
      <c r="C603" s="4" t="str">
        <f t="shared" si="1"/>
        <v>611766616042476</v>
      </c>
      <c r="D603" s="4">
        <v>14450.0</v>
      </c>
      <c r="E603" s="13" t="str">
        <f t="shared" ref="E603:E611" si="36">IF(D603&lt;5000, "LOW",IF(D603&lt;10000,"MEDIUM","HIGH"))</f>
        <v>HIGH</v>
      </c>
      <c r="F603" s="16">
        <f>VLOOKUP(C603,Sleep!C:F,4,FALSE)</f>
        <v>0.2638888889</v>
      </c>
      <c r="G603" s="12">
        <f>VLOOKUP(C603,Sleep!C:I,7,FALSE)</f>
        <v>0.9547738693</v>
      </c>
    </row>
    <row r="604">
      <c r="A604" s="4">
        <v>6.11766616E9</v>
      </c>
      <c r="B604" s="5">
        <v>42477.0</v>
      </c>
      <c r="C604" s="4" t="str">
        <f t="shared" si="1"/>
        <v>611766616042477</v>
      </c>
      <c r="D604" s="4">
        <v>7150.0</v>
      </c>
      <c r="E604" s="13" t="str">
        <f t="shared" si="36"/>
        <v>MEDIUM</v>
      </c>
      <c r="F604" s="16">
        <f>VLOOKUP(C604,Sleep!C:F,4,FALSE)</f>
        <v>0.2333333333</v>
      </c>
      <c r="G604" s="12">
        <f>VLOOKUP(C604,Sleep!C:I,7,FALSE)</f>
        <v>0.96</v>
      </c>
    </row>
    <row r="605">
      <c r="A605" s="4">
        <v>6.11766616E9</v>
      </c>
      <c r="B605" s="5">
        <v>42478.0</v>
      </c>
      <c r="C605" s="4" t="str">
        <f t="shared" si="1"/>
        <v>611766616042478</v>
      </c>
      <c r="D605" s="4">
        <v>5153.0</v>
      </c>
      <c r="E605" s="13" t="str">
        <f t="shared" si="36"/>
        <v>MEDIUM</v>
      </c>
      <c r="F605" s="16">
        <f>VLOOKUP(C605,Sleep!C:F,4,FALSE)</f>
        <v>0.3423611111</v>
      </c>
      <c r="G605" s="12">
        <f>VLOOKUP(C605,Sleep!C:I,7,FALSE)</f>
        <v>0.9666666667</v>
      </c>
    </row>
    <row r="606">
      <c r="A606" s="4">
        <v>6.11766616E9</v>
      </c>
      <c r="B606" s="5">
        <v>42479.0</v>
      </c>
      <c r="C606" s="4" t="str">
        <f t="shared" si="1"/>
        <v>611766616042479</v>
      </c>
      <c r="D606" s="4">
        <v>11135.0</v>
      </c>
      <c r="E606" s="13" t="str">
        <f t="shared" si="36"/>
        <v>HIGH</v>
      </c>
      <c r="F606" s="16">
        <f>VLOOKUP(C606,Sleep!C:F,4,FALSE)</f>
        <v>0.3229166667</v>
      </c>
      <c r="G606" s="12">
        <f>VLOOKUP(C606,Sleep!C:I,7,FALSE)</f>
        <v>0.9451219512</v>
      </c>
    </row>
    <row r="607">
      <c r="A607" s="4">
        <v>6.11766616E9</v>
      </c>
      <c r="B607" s="5">
        <v>42480.0</v>
      </c>
      <c r="C607" s="4" t="str">
        <f t="shared" si="1"/>
        <v>611766616042480</v>
      </c>
      <c r="D607" s="4">
        <v>10449.0</v>
      </c>
      <c r="E607" s="13" t="str">
        <f t="shared" si="36"/>
        <v>HIGH</v>
      </c>
      <c r="F607" s="16">
        <f>VLOOKUP(C607,Sleep!C:F,4,FALSE)</f>
        <v>0.3291666667</v>
      </c>
      <c r="G607" s="12">
        <f>VLOOKUP(C607,Sleep!C:I,7,FALSE)</f>
        <v>0.9442231076</v>
      </c>
    </row>
    <row r="608">
      <c r="A608" s="4">
        <v>6.11766616E9</v>
      </c>
      <c r="B608" s="5">
        <v>42481.0</v>
      </c>
      <c r="C608" s="4" t="str">
        <f t="shared" si="1"/>
        <v>611766616042481</v>
      </c>
      <c r="D608" s="4">
        <v>19542.0</v>
      </c>
      <c r="E608" s="13" t="str">
        <f t="shared" si="36"/>
        <v>HIGH</v>
      </c>
      <c r="F608" s="16">
        <f>VLOOKUP(C608,Sleep!C:F,4,FALSE)</f>
        <v>0.3527777778</v>
      </c>
      <c r="G608" s="12">
        <f>VLOOKUP(C608,Sleep!C:I,7,FALSE)</f>
        <v>0.9236363636</v>
      </c>
    </row>
    <row r="609">
      <c r="A609" s="4">
        <v>6.11766616E9</v>
      </c>
      <c r="B609" s="5">
        <v>42482.0</v>
      </c>
      <c r="C609" s="4" t="str">
        <f t="shared" si="1"/>
        <v>611766616042482</v>
      </c>
      <c r="D609" s="4">
        <v>8206.0</v>
      </c>
      <c r="E609" s="13" t="str">
        <f t="shared" si="36"/>
        <v>MEDIUM</v>
      </c>
      <c r="F609" s="16">
        <f>VLOOKUP(C609,Sleep!C:F,4,FALSE)</f>
        <v>0.3333333333</v>
      </c>
      <c r="G609" s="12">
        <f>VLOOKUP(C609,Sleep!C:I,7,FALSE)</f>
        <v>0.8791208791</v>
      </c>
    </row>
    <row r="610">
      <c r="A610" s="4">
        <v>6.11766616E9</v>
      </c>
      <c r="B610" s="5">
        <v>42483.0</v>
      </c>
      <c r="C610" s="4" t="str">
        <f t="shared" si="1"/>
        <v>611766616042483</v>
      </c>
      <c r="D610" s="4">
        <v>11495.0</v>
      </c>
      <c r="E610" s="13" t="str">
        <f t="shared" si="36"/>
        <v>HIGH</v>
      </c>
      <c r="F610" s="16">
        <f>VLOOKUP(C610,Sleep!C:F,4,FALSE)</f>
        <v>0.3416666667</v>
      </c>
      <c r="G610" s="12">
        <f>VLOOKUP(C610,Sleep!C:I,7,FALSE)</f>
        <v>0.9128014842</v>
      </c>
    </row>
    <row r="611">
      <c r="A611" s="4">
        <v>6.11766616E9</v>
      </c>
      <c r="B611" s="5">
        <v>42484.0</v>
      </c>
      <c r="C611" s="4" t="str">
        <f t="shared" si="1"/>
        <v>611766616042484</v>
      </c>
      <c r="D611" s="4">
        <v>7623.0</v>
      </c>
      <c r="E611" s="13" t="str">
        <f t="shared" si="36"/>
        <v>MEDIUM</v>
      </c>
      <c r="F611" s="16">
        <f>VLOOKUP(C611,Sleep!C:F,4,FALSE)</f>
        <v>0.2451388889</v>
      </c>
      <c r="G611" s="12">
        <f>VLOOKUP(C611,Sleep!C:I,7,FALSE)</f>
        <v>0.961852861</v>
      </c>
    </row>
    <row r="612" hidden="1">
      <c r="A612" s="4">
        <v>6.11766616E9</v>
      </c>
      <c r="B612" s="5">
        <v>42485.0</v>
      </c>
      <c r="C612" s="4" t="str">
        <f t="shared" si="1"/>
        <v>611766616042485</v>
      </c>
      <c r="D612" s="4">
        <v>0.0</v>
      </c>
      <c r="E612" s="4"/>
      <c r="F612" s="13" t="str">
        <f>VLOOKUP(C612,Sleep!C:F,4,FALSE)</f>
        <v>#N/A</v>
      </c>
    </row>
    <row r="613" hidden="1">
      <c r="A613" s="4">
        <v>6.11766616E9</v>
      </c>
      <c r="B613" s="5">
        <v>42486.0</v>
      </c>
      <c r="C613" s="4" t="str">
        <f t="shared" si="1"/>
        <v>611766616042486</v>
      </c>
      <c r="D613" s="4">
        <v>9543.0</v>
      </c>
      <c r="E613" s="4"/>
      <c r="F613" s="13" t="str">
        <f>VLOOKUP(C613,Sleep!C:F,4,FALSE)</f>
        <v>#N/A</v>
      </c>
    </row>
    <row r="614">
      <c r="A614" s="4">
        <v>6.11766616E9</v>
      </c>
      <c r="B614" s="5">
        <v>42487.0</v>
      </c>
      <c r="C614" s="4" t="str">
        <f t="shared" si="1"/>
        <v>611766616042487</v>
      </c>
      <c r="D614" s="4">
        <v>9411.0</v>
      </c>
      <c r="E614" s="13" t="str">
        <f t="shared" ref="E614:E616" si="37">IF(D614&lt;5000, "LOW",IF(D614&lt;10000,"MEDIUM","HIGH"))</f>
        <v>MEDIUM</v>
      </c>
      <c r="F614" s="16">
        <f>VLOOKUP(C614,Sleep!C:F,4,FALSE)</f>
        <v>0.3763888889</v>
      </c>
      <c r="G614" s="12">
        <f>VLOOKUP(C614,Sleep!C:I,7,FALSE)</f>
        <v>0.973070018</v>
      </c>
    </row>
    <row r="615">
      <c r="A615" s="4">
        <v>6.11766616E9</v>
      </c>
      <c r="B615" s="5">
        <v>42488.0</v>
      </c>
      <c r="C615" s="4" t="str">
        <f t="shared" si="1"/>
        <v>611766616042488</v>
      </c>
      <c r="D615" s="4">
        <v>3403.0</v>
      </c>
      <c r="E615" s="13" t="str">
        <f t="shared" si="37"/>
        <v>LOW</v>
      </c>
      <c r="F615" s="16">
        <f>VLOOKUP(C615,Sleep!C:F,4,FALSE)</f>
        <v>0.2729166667</v>
      </c>
      <c r="G615" s="12">
        <f>VLOOKUP(C615,Sleep!C:I,7,FALSE)</f>
        <v>0.9447115385</v>
      </c>
    </row>
    <row r="616">
      <c r="A616" s="4">
        <v>6.11766616E9</v>
      </c>
      <c r="B616" s="5">
        <v>42489.0</v>
      </c>
      <c r="C616" s="4" t="str">
        <f t="shared" si="1"/>
        <v>611766616042489</v>
      </c>
      <c r="D616" s="4">
        <v>9592.0</v>
      </c>
      <c r="E616" s="13" t="str">
        <f t="shared" si="37"/>
        <v>MEDIUM</v>
      </c>
      <c r="F616" s="16">
        <f>VLOOKUP(C616,Sleep!C:F,4,FALSE)</f>
        <v>0.4166666667</v>
      </c>
      <c r="G616" s="12">
        <f>VLOOKUP(C616,Sleep!C:I,7,FALSE)</f>
        <v>0.9433962264</v>
      </c>
    </row>
    <row r="617" hidden="1">
      <c r="A617" s="4">
        <v>6.11766616E9</v>
      </c>
      <c r="B617" s="5">
        <v>42490.0</v>
      </c>
      <c r="C617" s="4" t="str">
        <f t="shared" si="1"/>
        <v>611766616042490</v>
      </c>
      <c r="D617" s="4">
        <v>6987.0</v>
      </c>
      <c r="E617" s="4"/>
      <c r="F617" s="13" t="str">
        <f>VLOOKUP(C617,Sleep!C:F,4,FALSE)</f>
        <v>#N/A</v>
      </c>
    </row>
    <row r="618">
      <c r="A618" s="4">
        <v>6.11766616E9</v>
      </c>
      <c r="B618" s="5">
        <v>42491.0</v>
      </c>
      <c r="C618" s="4" t="str">
        <f t="shared" si="1"/>
        <v>611766616042491</v>
      </c>
      <c r="D618" s="4">
        <v>8915.0</v>
      </c>
      <c r="E618" s="13" t="str">
        <f>IF(D618&lt;5000, "LOW",IF(D618&lt;10000,"MEDIUM","HIGH"))</f>
        <v>MEDIUM</v>
      </c>
      <c r="F618" s="16">
        <f>VLOOKUP(C618,Sleep!C:F,4,FALSE)</f>
        <v>0.3520833333</v>
      </c>
      <c r="G618" s="12">
        <f>VLOOKUP(C618,Sleep!C:I,7,FALSE)</f>
        <v>0.8817391304</v>
      </c>
    </row>
    <row r="619" hidden="1">
      <c r="A619" s="4">
        <v>6.11766616E9</v>
      </c>
      <c r="B619" s="5">
        <v>42492.0</v>
      </c>
      <c r="C619" s="4" t="str">
        <f t="shared" si="1"/>
        <v>611766616042492</v>
      </c>
      <c r="D619" s="4">
        <v>4933.0</v>
      </c>
      <c r="E619" s="4"/>
      <c r="F619" s="13" t="str">
        <f>VLOOKUP(C619,Sleep!C:F,4,FALSE)</f>
        <v>#N/A</v>
      </c>
    </row>
    <row r="620" hidden="1">
      <c r="A620" s="4">
        <v>6.11766616E9</v>
      </c>
      <c r="B620" s="5">
        <v>42493.0</v>
      </c>
      <c r="C620" s="4" t="str">
        <f t="shared" si="1"/>
        <v>611766616042493</v>
      </c>
      <c r="D620" s="4">
        <v>0.0</v>
      </c>
      <c r="E620" s="4"/>
      <c r="F620" s="13" t="str">
        <f>VLOOKUP(C620,Sleep!C:F,4,FALSE)</f>
        <v>#N/A</v>
      </c>
    </row>
    <row r="621" hidden="1">
      <c r="A621" s="4">
        <v>6.11766616E9</v>
      </c>
      <c r="B621" s="5">
        <v>42494.0</v>
      </c>
      <c r="C621" s="4" t="str">
        <f t="shared" si="1"/>
        <v>611766616042494</v>
      </c>
      <c r="D621" s="4">
        <v>2997.0</v>
      </c>
      <c r="E621" s="4"/>
      <c r="F621" s="13" t="str">
        <f>VLOOKUP(C621,Sleep!C:F,4,FALSE)</f>
        <v>#N/A</v>
      </c>
    </row>
    <row r="622">
      <c r="A622" s="4">
        <v>6.11766616E9</v>
      </c>
      <c r="B622" s="5">
        <v>42495.0</v>
      </c>
      <c r="C622" s="4" t="str">
        <f t="shared" si="1"/>
        <v>611766616042495</v>
      </c>
      <c r="D622" s="4">
        <v>9799.0</v>
      </c>
      <c r="E622" s="13" t="str">
        <f t="shared" ref="E622:E626" si="38">IF(D622&lt;5000, "LOW",IF(D622&lt;10000,"MEDIUM","HIGH"))</f>
        <v>MEDIUM</v>
      </c>
      <c r="F622" s="16">
        <f>VLOOKUP(C622,Sleep!C:F,4,FALSE)</f>
        <v>0.2722222222</v>
      </c>
      <c r="G622" s="12">
        <f>VLOOKUP(C622,Sleep!C:I,7,FALSE)</f>
        <v>0.9445783133</v>
      </c>
    </row>
    <row r="623">
      <c r="A623" s="4">
        <v>6.11766616E9</v>
      </c>
      <c r="B623" s="5">
        <v>42496.0</v>
      </c>
      <c r="C623" s="4" t="str">
        <f t="shared" si="1"/>
        <v>611766616042496</v>
      </c>
      <c r="D623" s="4">
        <v>3365.0</v>
      </c>
      <c r="E623" s="13" t="str">
        <f t="shared" si="38"/>
        <v>LOW</v>
      </c>
      <c r="F623" s="16">
        <f>VLOOKUP(C623,Sleep!C:F,4,FALSE)</f>
        <v>0.4569444444</v>
      </c>
      <c r="G623" s="12">
        <f>VLOOKUP(C623,Sleep!C:I,7,FALSE)</f>
        <v>0.9426934097</v>
      </c>
    </row>
    <row r="624">
      <c r="A624" s="4">
        <v>6.11766616E9</v>
      </c>
      <c r="B624" s="5">
        <v>42497.0</v>
      </c>
      <c r="C624" s="4" t="str">
        <f t="shared" si="1"/>
        <v>611766616042497</v>
      </c>
      <c r="D624" s="4">
        <v>7336.0</v>
      </c>
      <c r="E624" s="13" t="str">
        <f t="shared" si="38"/>
        <v>MEDIUM</v>
      </c>
      <c r="F624" s="16">
        <f>VLOOKUP(C624,Sleep!C:F,4,FALSE)</f>
        <v>0.3458333333</v>
      </c>
      <c r="G624" s="12">
        <f>VLOOKUP(C624,Sleep!C:I,7,FALSE)</f>
        <v>0.9822485207</v>
      </c>
    </row>
    <row r="625">
      <c r="A625" s="4">
        <v>6.11766616E9</v>
      </c>
      <c r="B625" s="5">
        <v>42498.0</v>
      </c>
      <c r="C625" s="4" t="str">
        <f t="shared" si="1"/>
        <v>611766616042498</v>
      </c>
      <c r="D625" s="4">
        <v>7328.0</v>
      </c>
      <c r="E625" s="13" t="str">
        <f t="shared" si="38"/>
        <v>MEDIUM</v>
      </c>
      <c r="F625" s="16">
        <f>VLOOKUP(C625,Sleep!C:F,4,FALSE)</f>
        <v>0.3854166667</v>
      </c>
      <c r="G625" s="12">
        <f>VLOOKUP(C625,Sleep!C:I,7,FALSE)</f>
        <v>0.92039801</v>
      </c>
    </row>
    <row r="626">
      <c r="A626" s="4">
        <v>6.11766616E9</v>
      </c>
      <c r="B626" s="5">
        <v>42499.0</v>
      </c>
      <c r="C626" s="4" t="str">
        <f t="shared" si="1"/>
        <v>611766616042499</v>
      </c>
      <c r="D626" s="4">
        <v>4477.0</v>
      </c>
      <c r="E626" s="13" t="str">
        <f t="shared" si="38"/>
        <v>LOW</v>
      </c>
      <c r="F626" s="16">
        <f>VLOOKUP(C626,Sleep!C:F,4,FALSE)</f>
        <v>0.3416666667</v>
      </c>
      <c r="G626" s="12">
        <f>VLOOKUP(C626,Sleep!C:I,7,FALSE)</f>
        <v>0.9425287356</v>
      </c>
    </row>
    <row r="627" hidden="1">
      <c r="A627" s="4">
        <v>6.290855005E9</v>
      </c>
      <c r="B627" s="5">
        <v>42472.0</v>
      </c>
      <c r="C627" s="4" t="str">
        <f t="shared" si="1"/>
        <v>629085500542472</v>
      </c>
      <c r="D627" s="4">
        <v>4562.0</v>
      </c>
      <c r="E627" s="4"/>
      <c r="F627" s="13" t="str">
        <f>VLOOKUP(C627,Sleep!C:F,4,FALSE)</f>
        <v>#N/A</v>
      </c>
    </row>
    <row r="628" hidden="1">
      <c r="A628" s="4">
        <v>6.290855005E9</v>
      </c>
      <c r="B628" s="5">
        <v>42473.0</v>
      </c>
      <c r="C628" s="4" t="str">
        <f t="shared" si="1"/>
        <v>629085500542473</v>
      </c>
      <c r="D628" s="4">
        <v>7142.0</v>
      </c>
      <c r="E628" s="4"/>
      <c r="F628" s="13" t="str">
        <f>VLOOKUP(C628,Sleep!C:F,4,FALSE)</f>
        <v>#N/A</v>
      </c>
    </row>
    <row r="629" hidden="1">
      <c r="A629" s="4">
        <v>6.290855005E9</v>
      </c>
      <c r="B629" s="5">
        <v>42474.0</v>
      </c>
      <c r="C629" s="4" t="str">
        <f t="shared" si="1"/>
        <v>629085500542474</v>
      </c>
      <c r="D629" s="4">
        <v>7671.0</v>
      </c>
      <c r="E629" s="4"/>
      <c r="F629" s="13" t="str">
        <f>VLOOKUP(C629,Sleep!C:F,4,FALSE)</f>
        <v>#N/A</v>
      </c>
    </row>
    <row r="630" hidden="1">
      <c r="A630" s="4">
        <v>6.290855005E9</v>
      </c>
      <c r="B630" s="5">
        <v>42475.0</v>
      </c>
      <c r="C630" s="4" t="str">
        <f t="shared" si="1"/>
        <v>629085500542475</v>
      </c>
      <c r="D630" s="4">
        <v>9501.0</v>
      </c>
      <c r="E630" s="4"/>
      <c r="F630" s="13" t="str">
        <f>VLOOKUP(C630,Sleep!C:F,4,FALSE)</f>
        <v>#N/A</v>
      </c>
    </row>
    <row r="631" hidden="1">
      <c r="A631" s="4">
        <v>6.290855005E9</v>
      </c>
      <c r="B631" s="5">
        <v>42476.0</v>
      </c>
      <c r="C631" s="4" t="str">
        <f t="shared" si="1"/>
        <v>629085500542476</v>
      </c>
      <c r="D631" s="4">
        <v>8301.0</v>
      </c>
      <c r="E631" s="4"/>
      <c r="F631" s="13" t="str">
        <f>VLOOKUP(C631,Sleep!C:F,4,FALSE)</f>
        <v>#N/A</v>
      </c>
    </row>
    <row r="632" hidden="1">
      <c r="A632" s="4">
        <v>6.290855005E9</v>
      </c>
      <c r="B632" s="5">
        <v>42477.0</v>
      </c>
      <c r="C632" s="4" t="str">
        <f t="shared" si="1"/>
        <v>629085500542477</v>
      </c>
      <c r="D632" s="4">
        <v>7851.0</v>
      </c>
      <c r="E632" s="4"/>
      <c r="F632" s="13" t="str">
        <f>VLOOKUP(C632,Sleep!C:F,4,FALSE)</f>
        <v>#N/A</v>
      </c>
    </row>
    <row r="633" hidden="1">
      <c r="A633" s="4">
        <v>6.290855005E9</v>
      </c>
      <c r="B633" s="5">
        <v>42478.0</v>
      </c>
      <c r="C633" s="4" t="str">
        <f t="shared" si="1"/>
        <v>629085500542478</v>
      </c>
      <c r="D633" s="4">
        <v>6885.0</v>
      </c>
      <c r="E633" s="4"/>
      <c r="F633" s="13" t="str">
        <f>VLOOKUP(C633,Sleep!C:F,4,FALSE)</f>
        <v>#N/A</v>
      </c>
    </row>
    <row r="634" hidden="1">
      <c r="A634" s="4">
        <v>6.290855005E9</v>
      </c>
      <c r="B634" s="5">
        <v>42479.0</v>
      </c>
      <c r="C634" s="4" t="str">
        <f t="shared" si="1"/>
        <v>629085500542479</v>
      </c>
      <c r="D634" s="4">
        <v>7142.0</v>
      </c>
      <c r="E634" s="4"/>
      <c r="F634" s="13" t="str">
        <f>VLOOKUP(C634,Sleep!C:F,4,FALSE)</f>
        <v>#N/A</v>
      </c>
    </row>
    <row r="635" hidden="1">
      <c r="A635" s="4">
        <v>6.290855005E9</v>
      </c>
      <c r="B635" s="5">
        <v>42480.0</v>
      </c>
      <c r="C635" s="4" t="str">
        <f t="shared" si="1"/>
        <v>629085500542480</v>
      </c>
      <c r="D635" s="4">
        <v>6361.0</v>
      </c>
      <c r="E635" s="4"/>
      <c r="F635" s="13" t="str">
        <f>VLOOKUP(C635,Sleep!C:F,4,FALSE)</f>
        <v>#N/A</v>
      </c>
    </row>
    <row r="636" hidden="1">
      <c r="A636" s="4">
        <v>6.290855005E9</v>
      </c>
      <c r="B636" s="5">
        <v>42481.0</v>
      </c>
      <c r="C636" s="4" t="str">
        <f t="shared" si="1"/>
        <v>629085500542481</v>
      </c>
      <c r="D636" s="4">
        <v>0.0</v>
      </c>
      <c r="E636" s="4"/>
      <c r="F636" s="13" t="str">
        <f>VLOOKUP(C636,Sleep!C:F,4,FALSE)</f>
        <v>#N/A</v>
      </c>
    </row>
    <row r="637" hidden="1">
      <c r="A637" s="4">
        <v>6.290855005E9</v>
      </c>
      <c r="B637" s="5">
        <v>42482.0</v>
      </c>
      <c r="C637" s="4" t="str">
        <f t="shared" si="1"/>
        <v>629085500542482</v>
      </c>
      <c r="D637" s="4">
        <v>6238.0</v>
      </c>
      <c r="E637" s="4"/>
      <c r="F637" s="13" t="str">
        <f>VLOOKUP(C637,Sleep!C:F,4,FALSE)</f>
        <v>#N/A</v>
      </c>
    </row>
    <row r="638" hidden="1">
      <c r="A638" s="4">
        <v>6.290855005E9</v>
      </c>
      <c r="B638" s="5">
        <v>42483.0</v>
      </c>
      <c r="C638" s="4" t="str">
        <f t="shared" si="1"/>
        <v>629085500542483</v>
      </c>
      <c r="D638" s="4">
        <v>0.0</v>
      </c>
      <c r="E638" s="4"/>
      <c r="F638" s="13" t="str">
        <f>VLOOKUP(C638,Sleep!C:F,4,FALSE)</f>
        <v>#N/A</v>
      </c>
    </row>
    <row r="639" hidden="1">
      <c r="A639" s="4">
        <v>6.290855005E9</v>
      </c>
      <c r="B639" s="5">
        <v>42484.0</v>
      </c>
      <c r="C639" s="4" t="str">
        <f t="shared" si="1"/>
        <v>629085500542484</v>
      </c>
      <c r="D639" s="4">
        <v>5896.0</v>
      </c>
      <c r="E639" s="4"/>
      <c r="F639" s="13" t="str">
        <f>VLOOKUP(C639,Sleep!C:F,4,FALSE)</f>
        <v>#N/A</v>
      </c>
    </row>
    <row r="640" hidden="1">
      <c r="A640" s="4">
        <v>6.290855005E9</v>
      </c>
      <c r="B640" s="5">
        <v>42485.0</v>
      </c>
      <c r="C640" s="4" t="str">
        <f t="shared" si="1"/>
        <v>629085500542485</v>
      </c>
      <c r="D640" s="4">
        <v>7802.0</v>
      </c>
      <c r="E640" s="4"/>
      <c r="F640" s="13" t="str">
        <f>VLOOKUP(C640,Sleep!C:F,4,FALSE)</f>
        <v>#N/A</v>
      </c>
    </row>
    <row r="641" hidden="1">
      <c r="A641" s="4">
        <v>6.290855005E9</v>
      </c>
      <c r="B641" s="5">
        <v>42486.0</v>
      </c>
      <c r="C641" s="4" t="str">
        <f t="shared" si="1"/>
        <v>629085500542486</v>
      </c>
      <c r="D641" s="4">
        <v>0.0</v>
      </c>
      <c r="E641" s="4"/>
      <c r="F641" s="13" t="str">
        <f>VLOOKUP(C641,Sleep!C:F,4,FALSE)</f>
        <v>#N/A</v>
      </c>
    </row>
    <row r="642" hidden="1">
      <c r="A642" s="4">
        <v>6.290855005E9</v>
      </c>
      <c r="B642" s="5">
        <v>42487.0</v>
      </c>
      <c r="C642" s="4" t="str">
        <f t="shared" si="1"/>
        <v>629085500542487</v>
      </c>
      <c r="D642" s="4">
        <v>5565.0</v>
      </c>
      <c r="E642" s="4"/>
      <c r="F642" s="13" t="str">
        <f>VLOOKUP(C642,Sleep!C:F,4,FALSE)</f>
        <v>#N/A</v>
      </c>
    </row>
    <row r="643" hidden="1">
      <c r="A643" s="4">
        <v>6.290855005E9</v>
      </c>
      <c r="B643" s="5">
        <v>42488.0</v>
      </c>
      <c r="C643" s="4" t="str">
        <f t="shared" si="1"/>
        <v>629085500542488</v>
      </c>
      <c r="D643" s="4">
        <v>5731.0</v>
      </c>
      <c r="E643" s="4"/>
      <c r="F643" s="13" t="str">
        <f>VLOOKUP(C643,Sleep!C:F,4,FALSE)</f>
        <v>#N/A</v>
      </c>
    </row>
    <row r="644" hidden="1">
      <c r="A644" s="4">
        <v>6.290855005E9</v>
      </c>
      <c r="B644" s="5">
        <v>42489.0</v>
      </c>
      <c r="C644" s="4" t="str">
        <f t="shared" si="1"/>
        <v>629085500542489</v>
      </c>
      <c r="D644" s="4">
        <v>0.0</v>
      </c>
      <c r="E644" s="4"/>
      <c r="F644" s="13" t="str">
        <f>VLOOKUP(C644,Sleep!C:F,4,FALSE)</f>
        <v>#N/A</v>
      </c>
    </row>
    <row r="645" hidden="1">
      <c r="A645" s="4">
        <v>6.290855005E9</v>
      </c>
      <c r="B645" s="5">
        <v>42490.0</v>
      </c>
      <c r="C645" s="4" t="str">
        <f t="shared" si="1"/>
        <v>629085500542490</v>
      </c>
      <c r="D645" s="4">
        <v>6744.0</v>
      </c>
      <c r="E645" s="4"/>
      <c r="F645" s="13" t="str">
        <f>VLOOKUP(C645,Sleep!C:F,4,FALSE)</f>
        <v>#N/A</v>
      </c>
    </row>
    <row r="646" hidden="1">
      <c r="A646" s="4">
        <v>6.290855005E9</v>
      </c>
      <c r="B646" s="5">
        <v>42491.0</v>
      </c>
      <c r="C646" s="4" t="str">
        <f t="shared" si="1"/>
        <v>629085500542491</v>
      </c>
      <c r="D646" s="4">
        <v>9837.0</v>
      </c>
      <c r="E646" s="4"/>
      <c r="F646" s="13" t="str">
        <f>VLOOKUP(C646,Sleep!C:F,4,FALSE)</f>
        <v>#N/A</v>
      </c>
    </row>
    <row r="647" hidden="1">
      <c r="A647" s="4">
        <v>6.290855005E9</v>
      </c>
      <c r="B647" s="5">
        <v>42492.0</v>
      </c>
      <c r="C647" s="4" t="str">
        <f t="shared" si="1"/>
        <v>629085500542492</v>
      </c>
      <c r="D647" s="4">
        <v>6781.0</v>
      </c>
      <c r="E647" s="4"/>
      <c r="F647" s="13" t="str">
        <f>VLOOKUP(C647,Sleep!C:F,4,FALSE)</f>
        <v>#N/A</v>
      </c>
    </row>
    <row r="648" hidden="1">
      <c r="A648" s="4">
        <v>6.290855005E9</v>
      </c>
      <c r="B648" s="5">
        <v>42493.0</v>
      </c>
      <c r="C648" s="4" t="str">
        <f t="shared" si="1"/>
        <v>629085500542493</v>
      </c>
      <c r="D648" s="4">
        <v>6047.0</v>
      </c>
      <c r="E648" s="4"/>
      <c r="F648" s="13" t="str">
        <f>VLOOKUP(C648,Sleep!C:F,4,FALSE)</f>
        <v>#N/A</v>
      </c>
    </row>
    <row r="649" hidden="1">
      <c r="A649" s="4">
        <v>6.290855005E9</v>
      </c>
      <c r="B649" s="5">
        <v>42494.0</v>
      </c>
      <c r="C649" s="4" t="str">
        <f t="shared" si="1"/>
        <v>629085500542494</v>
      </c>
      <c r="D649" s="4">
        <v>5832.0</v>
      </c>
      <c r="E649" s="4"/>
      <c r="F649" s="13" t="str">
        <f>VLOOKUP(C649,Sleep!C:F,4,FALSE)</f>
        <v>#N/A</v>
      </c>
    </row>
    <row r="650" hidden="1">
      <c r="A650" s="4">
        <v>6.290855005E9</v>
      </c>
      <c r="B650" s="5">
        <v>42495.0</v>
      </c>
      <c r="C650" s="4" t="str">
        <f t="shared" si="1"/>
        <v>629085500542495</v>
      </c>
      <c r="D650" s="4">
        <v>6339.0</v>
      </c>
      <c r="E650" s="4"/>
      <c r="F650" s="13" t="str">
        <f>VLOOKUP(C650,Sleep!C:F,4,FALSE)</f>
        <v>#N/A</v>
      </c>
    </row>
    <row r="651" hidden="1">
      <c r="A651" s="4">
        <v>6.290855005E9</v>
      </c>
      <c r="B651" s="5">
        <v>42496.0</v>
      </c>
      <c r="C651" s="4" t="str">
        <f t="shared" si="1"/>
        <v>629085500542496</v>
      </c>
      <c r="D651" s="4">
        <v>6116.0</v>
      </c>
      <c r="E651" s="4"/>
      <c r="F651" s="13" t="str">
        <f>VLOOKUP(C651,Sleep!C:F,4,FALSE)</f>
        <v>#N/A</v>
      </c>
    </row>
    <row r="652" hidden="1">
      <c r="A652" s="4">
        <v>6.290855005E9</v>
      </c>
      <c r="B652" s="5">
        <v>42497.0</v>
      </c>
      <c r="C652" s="4" t="str">
        <f t="shared" si="1"/>
        <v>629085500542497</v>
      </c>
      <c r="D652" s="4">
        <v>5510.0</v>
      </c>
      <c r="E652" s="4"/>
      <c r="F652" s="13" t="str">
        <f>VLOOKUP(C652,Sleep!C:F,4,FALSE)</f>
        <v>#N/A</v>
      </c>
    </row>
    <row r="653" hidden="1">
      <c r="A653" s="4">
        <v>6.290855005E9</v>
      </c>
      <c r="B653" s="5">
        <v>42498.0</v>
      </c>
      <c r="C653" s="4" t="str">
        <f t="shared" si="1"/>
        <v>629085500542498</v>
      </c>
      <c r="D653" s="4">
        <v>7706.0</v>
      </c>
      <c r="E653" s="4"/>
      <c r="F653" s="13" t="str">
        <f>VLOOKUP(C653,Sleep!C:F,4,FALSE)</f>
        <v>#N/A</v>
      </c>
    </row>
    <row r="654" hidden="1">
      <c r="A654" s="4">
        <v>6.290855005E9</v>
      </c>
      <c r="B654" s="5">
        <v>42499.0</v>
      </c>
      <c r="C654" s="4" t="str">
        <f t="shared" si="1"/>
        <v>629085500542499</v>
      </c>
      <c r="D654" s="4">
        <v>6277.0</v>
      </c>
      <c r="E654" s="4"/>
      <c r="F654" s="13" t="str">
        <f>VLOOKUP(C654,Sleep!C:F,4,FALSE)</f>
        <v>#N/A</v>
      </c>
    </row>
    <row r="655" hidden="1">
      <c r="A655" s="4">
        <v>6.290855005E9</v>
      </c>
      <c r="B655" s="5">
        <v>42500.0</v>
      </c>
      <c r="C655" s="4" t="str">
        <f t="shared" si="1"/>
        <v>629085500542500</v>
      </c>
      <c r="D655" s="4">
        <v>0.0</v>
      </c>
      <c r="E655" s="4"/>
      <c r="F655" s="13" t="str">
        <f>VLOOKUP(C655,Sleep!C:F,4,FALSE)</f>
        <v>#N/A</v>
      </c>
    </row>
    <row r="656" hidden="1">
      <c r="A656" s="4">
        <v>6.775888955E9</v>
      </c>
      <c r="B656" s="5">
        <v>42472.0</v>
      </c>
      <c r="C656" s="4" t="str">
        <f t="shared" si="1"/>
        <v>677588895542472</v>
      </c>
      <c r="D656" s="4">
        <v>0.0</v>
      </c>
      <c r="E656" s="4"/>
      <c r="F656" s="13" t="str">
        <f>VLOOKUP(C656,Sleep!C:F,4,FALSE)</f>
        <v>#N/A</v>
      </c>
    </row>
    <row r="657">
      <c r="A657" s="4">
        <v>6.775888955E9</v>
      </c>
      <c r="B657" s="5">
        <v>42473.0</v>
      </c>
      <c r="C657" s="4" t="str">
        <f t="shared" si="1"/>
        <v>677588895542473</v>
      </c>
      <c r="D657" s="4">
        <v>4053.0</v>
      </c>
      <c r="E657" s="13" t="str">
        <f t="shared" ref="E657:E659" si="39">IF(D657&lt;5000, "LOW",IF(D657&lt;10000,"MEDIUM","HIGH"))</f>
        <v>LOW</v>
      </c>
      <c r="F657" s="16">
        <f>VLOOKUP(C657,Sleep!C:F,4,FALSE)</f>
        <v>0.1631944444</v>
      </c>
      <c r="G657" s="12">
        <f>VLOOKUP(C657,Sleep!C:I,7,FALSE)</f>
        <v>0.9038461538</v>
      </c>
    </row>
    <row r="658">
      <c r="A658" s="4">
        <v>6.775888955E9</v>
      </c>
      <c r="B658" s="5">
        <v>42474.0</v>
      </c>
      <c r="C658" s="4" t="str">
        <f t="shared" si="1"/>
        <v>677588895542474</v>
      </c>
      <c r="D658" s="4">
        <v>5162.0</v>
      </c>
      <c r="E658" s="13" t="str">
        <f t="shared" si="39"/>
        <v>MEDIUM</v>
      </c>
      <c r="F658" s="16">
        <f>VLOOKUP(C658,Sleep!C:F,4,FALSE)</f>
        <v>0.29375</v>
      </c>
      <c r="G658" s="12">
        <f>VLOOKUP(C658,Sleep!C:I,7,FALSE)</f>
        <v>0.9591836735</v>
      </c>
    </row>
    <row r="659">
      <c r="A659" s="4">
        <v>6.775888955E9</v>
      </c>
      <c r="B659" s="5">
        <v>42475.0</v>
      </c>
      <c r="C659" s="4" t="str">
        <f t="shared" si="1"/>
        <v>677588895542475</v>
      </c>
      <c r="D659" s="4">
        <v>1282.0</v>
      </c>
      <c r="E659" s="13" t="str">
        <f t="shared" si="39"/>
        <v>LOW</v>
      </c>
      <c r="F659" s="16">
        <f>VLOOKUP(C659,Sleep!C:F,4,FALSE)</f>
        <v>0.2715277778</v>
      </c>
      <c r="G659" s="12">
        <f>VLOOKUP(C659,Sleep!C:I,7,FALSE)</f>
        <v>0.9630541872</v>
      </c>
    </row>
    <row r="660" hidden="1">
      <c r="A660" s="4">
        <v>6.775888955E9</v>
      </c>
      <c r="B660" s="5">
        <v>42476.0</v>
      </c>
      <c r="C660" s="4" t="str">
        <f t="shared" si="1"/>
        <v>677588895542476</v>
      </c>
      <c r="D660" s="4">
        <v>4732.0</v>
      </c>
      <c r="E660" s="4"/>
      <c r="F660" s="13" t="str">
        <f>VLOOKUP(C660,Sleep!C:F,4,FALSE)</f>
        <v>#N/A</v>
      </c>
    </row>
    <row r="661" hidden="1">
      <c r="A661" s="4">
        <v>6.775888955E9</v>
      </c>
      <c r="B661" s="5">
        <v>42477.0</v>
      </c>
      <c r="C661" s="4" t="str">
        <f t="shared" si="1"/>
        <v>677588895542477</v>
      </c>
      <c r="D661" s="4">
        <v>2497.0</v>
      </c>
      <c r="E661" s="4"/>
      <c r="F661" s="13" t="str">
        <f>VLOOKUP(C661,Sleep!C:F,4,FALSE)</f>
        <v>#N/A</v>
      </c>
    </row>
    <row r="662" hidden="1">
      <c r="A662" s="4">
        <v>6.775888955E9</v>
      </c>
      <c r="B662" s="5">
        <v>42478.0</v>
      </c>
      <c r="C662" s="4" t="str">
        <f t="shared" si="1"/>
        <v>677588895542478</v>
      </c>
      <c r="D662" s="4">
        <v>8294.0</v>
      </c>
      <c r="E662" s="4"/>
      <c r="F662" s="13" t="str">
        <f>VLOOKUP(C662,Sleep!C:F,4,FALSE)</f>
        <v>#N/A</v>
      </c>
    </row>
    <row r="663" hidden="1">
      <c r="A663" s="4">
        <v>6.775888955E9</v>
      </c>
      <c r="B663" s="5">
        <v>42479.0</v>
      </c>
      <c r="C663" s="4" t="str">
        <f t="shared" si="1"/>
        <v>677588895542479</v>
      </c>
      <c r="D663" s="4">
        <v>0.0</v>
      </c>
      <c r="E663" s="4"/>
      <c r="F663" s="13" t="str">
        <f>VLOOKUP(C663,Sleep!C:F,4,FALSE)</f>
        <v>#N/A</v>
      </c>
    </row>
    <row r="664" hidden="1">
      <c r="A664" s="4">
        <v>6.775888955E9</v>
      </c>
      <c r="B664" s="5">
        <v>42480.0</v>
      </c>
      <c r="C664" s="4" t="str">
        <f t="shared" si="1"/>
        <v>677588895542480</v>
      </c>
      <c r="D664" s="4">
        <v>10771.0</v>
      </c>
      <c r="E664" s="4"/>
      <c r="F664" s="13" t="str">
        <f>VLOOKUP(C664,Sleep!C:F,4,FALSE)</f>
        <v>#N/A</v>
      </c>
    </row>
    <row r="665" hidden="1">
      <c r="A665" s="4">
        <v>6.775888955E9</v>
      </c>
      <c r="B665" s="5">
        <v>42481.0</v>
      </c>
      <c r="C665" s="4" t="str">
        <f t="shared" si="1"/>
        <v>677588895542481</v>
      </c>
      <c r="D665" s="4">
        <v>0.0</v>
      </c>
      <c r="E665" s="4"/>
      <c r="F665" s="13" t="str">
        <f>VLOOKUP(C665,Sleep!C:F,4,FALSE)</f>
        <v>#N/A</v>
      </c>
    </row>
    <row r="666" hidden="1">
      <c r="A666" s="4">
        <v>6.775888955E9</v>
      </c>
      <c r="B666" s="5">
        <v>42482.0</v>
      </c>
      <c r="C666" s="4" t="str">
        <f t="shared" si="1"/>
        <v>677588895542482</v>
      </c>
      <c r="D666" s="4">
        <v>637.0</v>
      </c>
      <c r="E666" s="4"/>
      <c r="F666" s="13" t="str">
        <f>VLOOKUP(C666,Sleep!C:F,4,FALSE)</f>
        <v>#N/A</v>
      </c>
    </row>
    <row r="667" hidden="1">
      <c r="A667" s="4">
        <v>6.775888955E9</v>
      </c>
      <c r="B667" s="5">
        <v>42483.0</v>
      </c>
      <c r="C667" s="4" t="str">
        <f t="shared" si="1"/>
        <v>677588895542483</v>
      </c>
      <c r="D667" s="4">
        <v>0.0</v>
      </c>
      <c r="E667" s="4"/>
      <c r="F667" s="13" t="str">
        <f>VLOOKUP(C667,Sleep!C:F,4,FALSE)</f>
        <v>#N/A</v>
      </c>
    </row>
    <row r="668" hidden="1">
      <c r="A668" s="4">
        <v>6.775888955E9</v>
      </c>
      <c r="B668" s="5">
        <v>42484.0</v>
      </c>
      <c r="C668" s="4" t="str">
        <f t="shared" si="1"/>
        <v>677588895542484</v>
      </c>
      <c r="D668" s="4">
        <v>2153.0</v>
      </c>
      <c r="E668" s="4"/>
      <c r="F668" s="13" t="str">
        <f>VLOOKUP(C668,Sleep!C:F,4,FALSE)</f>
        <v>#N/A</v>
      </c>
    </row>
    <row r="669" hidden="1">
      <c r="A669" s="4">
        <v>6.775888955E9</v>
      </c>
      <c r="B669" s="5">
        <v>42485.0</v>
      </c>
      <c r="C669" s="4" t="str">
        <f t="shared" si="1"/>
        <v>677588895542485</v>
      </c>
      <c r="D669" s="4">
        <v>6474.0</v>
      </c>
      <c r="E669" s="4"/>
      <c r="F669" s="13" t="str">
        <f>VLOOKUP(C669,Sleep!C:F,4,FALSE)</f>
        <v>#N/A</v>
      </c>
    </row>
    <row r="670" hidden="1">
      <c r="A670" s="4">
        <v>6.775888955E9</v>
      </c>
      <c r="B670" s="5">
        <v>42486.0</v>
      </c>
      <c r="C670" s="4" t="str">
        <f t="shared" si="1"/>
        <v>677588895542486</v>
      </c>
      <c r="D670" s="4">
        <v>7091.0</v>
      </c>
      <c r="E670" s="4"/>
      <c r="F670" s="13" t="str">
        <f>VLOOKUP(C670,Sleep!C:F,4,FALSE)</f>
        <v>#N/A</v>
      </c>
    </row>
    <row r="671" hidden="1">
      <c r="A671" s="4">
        <v>6.775888955E9</v>
      </c>
      <c r="B671" s="5">
        <v>42487.0</v>
      </c>
      <c r="C671" s="4" t="str">
        <f t="shared" si="1"/>
        <v>677588895542487</v>
      </c>
      <c r="D671" s="4">
        <v>0.0</v>
      </c>
      <c r="E671" s="4"/>
      <c r="F671" s="13" t="str">
        <f>VLOOKUP(C671,Sleep!C:F,4,FALSE)</f>
        <v>#N/A</v>
      </c>
    </row>
    <row r="672" hidden="1">
      <c r="A672" s="4">
        <v>6.775888955E9</v>
      </c>
      <c r="B672" s="5">
        <v>42488.0</v>
      </c>
      <c r="C672" s="4" t="str">
        <f t="shared" si="1"/>
        <v>677588895542488</v>
      </c>
      <c r="D672" s="4">
        <v>703.0</v>
      </c>
      <c r="E672" s="4"/>
      <c r="F672" s="13" t="str">
        <f>VLOOKUP(C672,Sleep!C:F,4,FALSE)</f>
        <v>#N/A</v>
      </c>
    </row>
    <row r="673" hidden="1">
      <c r="A673" s="4">
        <v>6.775888955E9</v>
      </c>
      <c r="B673" s="5">
        <v>42489.0</v>
      </c>
      <c r="C673" s="4" t="str">
        <f t="shared" si="1"/>
        <v>677588895542489</v>
      </c>
      <c r="D673" s="4">
        <v>0.0</v>
      </c>
      <c r="E673" s="4"/>
      <c r="F673" s="13" t="str">
        <f>VLOOKUP(C673,Sleep!C:F,4,FALSE)</f>
        <v>#N/A</v>
      </c>
    </row>
    <row r="674" hidden="1">
      <c r="A674" s="4">
        <v>6.775888955E9</v>
      </c>
      <c r="B674" s="5">
        <v>42490.0</v>
      </c>
      <c r="C674" s="4" t="str">
        <f t="shared" si="1"/>
        <v>677588895542490</v>
      </c>
      <c r="D674" s="4">
        <v>2503.0</v>
      </c>
      <c r="E674" s="4"/>
      <c r="F674" s="13" t="str">
        <f>VLOOKUP(C674,Sleep!C:F,4,FALSE)</f>
        <v>#N/A</v>
      </c>
    </row>
    <row r="675" hidden="1">
      <c r="A675" s="4">
        <v>6.775888955E9</v>
      </c>
      <c r="B675" s="5">
        <v>42491.0</v>
      </c>
      <c r="C675" s="4" t="str">
        <f t="shared" si="1"/>
        <v>677588895542491</v>
      </c>
      <c r="D675" s="4">
        <v>2487.0</v>
      </c>
      <c r="E675" s="4"/>
      <c r="F675" s="13" t="str">
        <f>VLOOKUP(C675,Sleep!C:F,4,FALSE)</f>
        <v>#N/A</v>
      </c>
    </row>
    <row r="676" hidden="1">
      <c r="A676" s="4">
        <v>6.775888955E9</v>
      </c>
      <c r="B676" s="5">
        <v>42492.0</v>
      </c>
      <c r="C676" s="4" t="str">
        <f t="shared" si="1"/>
        <v>677588895542492</v>
      </c>
      <c r="D676" s="4">
        <v>0.0</v>
      </c>
      <c r="E676" s="4"/>
      <c r="F676" s="13" t="str">
        <f>VLOOKUP(C676,Sleep!C:F,4,FALSE)</f>
        <v>#N/A</v>
      </c>
    </row>
    <row r="677" hidden="1">
      <c r="A677" s="4">
        <v>6.775888955E9</v>
      </c>
      <c r="B677" s="5">
        <v>42493.0</v>
      </c>
      <c r="C677" s="4" t="str">
        <f t="shared" si="1"/>
        <v>677588895542493</v>
      </c>
      <c r="D677" s="4">
        <v>9.0</v>
      </c>
      <c r="E677" s="4"/>
      <c r="F677" s="13" t="str">
        <f>VLOOKUP(C677,Sleep!C:F,4,FALSE)</f>
        <v>#N/A</v>
      </c>
    </row>
    <row r="678" hidden="1">
      <c r="A678" s="4">
        <v>6.775888955E9</v>
      </c>
      <c r="B678" s="5">
        <v>42494.0</v>
      </c>
      <c r="C678" s="4" t="str">
        <f t="shared" si="1"/>
        <v>677588895542494</v>
      </c>
      <c r="D678" s="4">
        <v>0.0</v>
      </c>
      <c r="E678" s="4"/>
      <c r="F678" s="13" t="str">
        <f>VLOOKUP(C678,Sleep!C:F,4,FALSE)</f>
        <v>#N/A</v>
      </c>
    </row>
    <row r="679" hidden="1">
      <c r="A679" s="4">
        <v>6.775888955E9</v>
      </c>
      <c r="B679" s="5">
        <v>42495.0</v>
      </c>
      <c r="C679" s="4" t="str">
        <f t="shared" si="1"/>
        <v>677588895542495</v>
      </c>
      <c r="D679" s="4">
        <v>0.0</v>
      </c>
      <c r="E679" s="4"/>
      <c r="F679" s="13" t="str">
        <f>VLOOKUP(C679,Sleep!C:F,4,FALSE)</f>
        <v>#N/A</v>
      </c>
    </row>
    <row r="680" hidden="1">
      <c r="A680" s="4">
        <v>6.775888955E9</v>
      </c>
      <c r="B680" s="5">
        <v>42496.0</v>
      </c>
      <c r="C680" s="4" t="str">
        <f t="shared" si="1"/>
        <v>677588895542496</v>
      </c>
      <c r="D680" s="4">
        <v>4697.0</v>
      </c>
      <c r="E680" s="4"/>
      <c r="F680" s="13" t="str">
        <f>VLOOKUP(C680,Sleep!C:F,4,FALSE)</f>
        <v>#N/A</v>
      </c>
    </row>
    <row r="681" hidden="1">
      <c r="A681" s="4">
        <v>6.775888955E9</v>
      </c>
      <c r="B681" s="5">
        <v>42497.0</v>
      </c>
      <c r="C681" s="4" t="str">
        <f t="shared" si="1"/>
        <v>677588895542497</v>
      </c>
      <c r="D681" s="4">
        <v>1967.0</v>
      </c>
      <c r="E681" s="4"/>
      <c r="F681" s="13" t="str">
        <f>VLOOKUP(C681,Sleep!C:F,4,FALSE)</f>
        <v>#N/A</v>
      </c>
    </row>
    <row r="682">
      <c r="A682" s="4">
        <v>6.962181067E9</v>
      </c>
      <c r="B682" s="5">
        <v>42472.0</v>
      </c>
      <c r="C682" s="4" t="str">
        <f t="shared" si="1"/>
        <v>696218106742472</v>
      </c>
      <c r="D682" s="4">
        <v>10199.0</v>
      </c>
      <c r="E682" s="13" t="str">
        <f t="shared" ref="E682:E712" si="40">IF(D682&lt;5000, "LOW",IF(D682&lt;10000,"MEDIUM","HIGH"))</f>
        <v>HIGH</v>
      </c>
      <c r="F682" s="16">
        <f>VLOOKUP(C682,Sleep!C:F,4,FALSE)</f>
        <v>0.2541666667</v>
      </c>
      <c r="G682" s="12">
        <f>VLOOKUP(C682,Sleep!C:I,7,FALSE)</f>
        <v>0.9457364341</v>
      </c>
    </row>
    <row r="683">
      <c r="A683" s="4">
        <v>6.962181067E9</v>
      </c>
      <c r="B683" s="5">
        <v>42473.0</v>
      </c>
      <c r="C683" s="4" t="str">
        <f t="shared" si="1"/>
        <v>696218106742473</v>
      </c>
      <c r="D683" s="4">
        <v>5652.0</v>
      </c>
      <c r="E683" s="13" t="str">
        <f t="shared" si="40"/>
        <v>MEDIUM</v>
      </c>
      <c r="F683" s="16">
        <f>VLOOKUP(C683,Sleep!C:F,4,FALSE)</f>
        <v>0.4375</v>
      </c>
      <c r="G683" s="12">
        <f>VLOOKUP(C683,Sleep!C:I,7,FALSE)</f>
        <v>0.9278350515</v>
      </c>
    </row>
    <row r="684">
      <c r="A684" s="4">
        <v>6.962181067E9</v>
      </c>
      <c r="B684" s="5">
        <v>42474.0</v>
      </c>
      <c r="C684" s="4" t="str">
        <f t="shared" si="1"/>
        <v>696218106742474</v>
      </c>
      <c r="D684" s="4">
        <v>1551.0</v>
      </c>
      <c r="E684" s="13" t="str">
        <f t="shared" si="40"/>
        <v>LOW</v>
      </c>
      <c r="F684" s="16">
        <f>VLOOKUP(C684,Sleep!C:F,4,FALSE)</f>
        <v>0.3527777778</v>
      </c>
      <c r="G684" s="12">
        <f>VLOOKUP(C684,Sleep!C:I,7,FALSE)</f>
        <v>0.9495327103</v>
      </c>
    </row>
    <row r="685">
      <c r="A685" s="4">
        <v>6.962181067E9</v>
      </c>
      <c r="B685" s="5">
        <v>42475.0</v>
      </c>
      <c r="C685" s="4" t="str">
        <f t="shared" si="1"/>
        <v>696218106742475</v>
      </c>
      <c r="D685" s="4">
        <v>5563.0</v>
      </c>
      <c r="E685" s="13" t="str">
        <f t="shared" si="40"/>
        <v>MEDIUM</v>
      </c>
      <c r="F685" s="16">
        <f>VLOOKUP(C685,Sleep!C:F,4,FALSE)</f>
        <v>0.2569444444</v>
      </c>
      <c r="G685" s="12">
        <f>VLOOKUP(C685,Sleep!C:I,7,FALSE)</f>
        <v>0.9585492228</v>
      </c>
    </row>
    <row r="686">
      <c r="A686" s="4">
        <v>6.962181067E9</v>
      </c>
      <c r="B686" s="5">
        <v>42476.0</v>
      </c>
      <c r="C686" s="4" t="str">
        <f t="shared" si="1"/>
        <v>696218106742476</v>
      </c>
      <c r="D686" s="4">
        <v>13217.0</v>
      </c>
      <c r="E686" s="13" t="str">
        <f t="shared" si="40"/>
        <v>HIGH</v>
      </c>
      <c r="F686" s="16">
        <f>VLOOKUP(C686,Sleep!C:F,4,FALSE)</f>
        <v>0.2479166667</v>
      </c>
      <c r="G686" s="12">
        <f>VLOOKUP(C686,Sleep!C:I,7,FALSE)</f>
        <v>0.9754098361</v>
      </c>
    </row>
    <row r="687">
      <c r="A687" s="4">
        <v>6.962181067E9</v>
      </c>
      <c r="B687" s="5">
        <v>42477.0</v>
      </c>
      <c r="C687" s="4" t="str">
        <f t="shared" si="1"/>
        <v>696218106742477</v>
      </c>
      <c r="D687" s="4">
        <v>10145.0</v>
      </c>
      <c r="E687" s="13" t="str">
        <f t="shared" si="40"/>
        <v>HIGH</v>
      </c>
      <c r="F687" s="16">
        <f>VLOOKUP(C687,Sleep!C:F,4,FALSE)</f>
        <v>0.2965277778</v>
      </c>
      <c r="G687" s="12">
        <f>VLOOKUP(C687,Sleep!C:I,7,FALSE)</f>
        <v>0.9573991031</v>
      </c>
    </row>
    <row r="688">
      <c r="A688" s="4">
        <v>6.962181067E9</v>
      </c>
      <c r="B688" s="5">
        <v>42478.0</v>
      </c>
      <c r="C688" s="4" t="str">
        <f t="shared" si="1"/>
        <v>696218106742478</v>
      </c>
      <c r="D688" s="4">
        <v>11404.0</v>
      </c>
      <c r="E688" s="13" t="str">
        <f t="shared" si="40"/>
        <v>HIGH</v>
      </c>
      <c r="F688" s="16">
        <f>VLOOKUP(C688,Sleep!C:F,4,FALSE)</f>
        <v>0.3069444444</v>
      </c>
      <c r="G688" s="12">
        <f>VLOOKUP(C688,Sleep!C:I,7,FALSE)</f>
        <v>0.9650655022</v>
      </c>
    </row>
    <row r="689">
      <c r="A689" s="4">
        <v>6.962181067E9</v>
      </c>
      <c r="B689" s="5">
        <v>42479.0</v>
      </c>
      <c r="C689" s="4" t="str">
        <f t="shared" si="1"/>
        <v>696218106742479</v>
      </c>
      <c r="D689" s="4">
        <v>10742.0</v>
      </c>
      <c r="E689" s="13" t="str">
        <f t="shared" si="40"/>
        <v>HIGH</v>
      </c>
      <c r="F689" s="16">
        <f>VLOOKUP(C689,Sleep!C:F,4,FALSE)</f>
        <v>0.3305555556</v>
      </c>
      <c r="G689" s="12">
        <f>VLOOKUP(C689,Sleep!C:I,7,FALSE)</f>
        <v>0.8897196262</v>
      </c>
    </row>
    <row r="690">
      <c r="A690" s="4">
        <v>6.962181067E9</v>
      </c>
      <c r="B690" s="5">
        <v>42480.0</v>
      </c>
      <c r="C690" s="4" t="str">
        <f t="shared" si="1"/>
        <v>696218106742480</v>
      </c>
      <c r="D690" s="4">
        <v>13928.0</v>
      </c>
      <c r="E690" s="13" t="str">
        <f t="shared" si="40"/>
        <v>HIGH</v>
      </c>
      <c r="F690" s="16">
        <f>VLOOKUP(C690,Sleep!C:F,4,FALSE)</f>
        <v>0.2902777778</v>
      </c>
      <c r="G690" s="12">
        <f>VLOOKUP(C690,Sleep!C:I,7,FALSE)</f>
        <v>0.9858490566</v>
      </c>
    </row>
    <row r="691">
      <c r="A691" s="4">
        <v>6.962181067E9</v>
      </c>
      <c r="B691" s="5">
        <v>42481.0</v>
      </c>
      <c r="C691" s="4" t="str">
        <f t="shared" si="1"/>
        <v>696218106742481</v>
      </c>
      <c r="D691" s="4">
        <v>11835.0</v>
      </c>
      <c r="E691" s="13" t="str">
        <f t="shared" si="40"/>
        <v>HIGH</v>
      </c>
      <c r="F691" s="16">
        <f>VLOOKUP(C691,Sleep!C:F,4,FALSE)</f>
        <v>0.3131944444</v>
      </c>
      <c r="G691" s="12">
        <f>VLOOKUP(C691,Sleep!C:I,7,FALSE)</f>
        <v>0.9868708972</v>
      </c>
    </row>
    <row r="692">
      <c r="A692" s="4">
        <v>6.962181067E9</v>
      </c>
      <c r="B692" s="5">
        <v>42482.0</v>
      </c>
      <c r="C692" s="4" t="str">
        <f t="shared" si="1"/>
        <v>696218106742482</v>
      </c>
      <c r="D692" s="4">
        <v>10725.0</v>
      </c>
      <c r="E692" s="13" t="str">
        <f t="shared" si="40"/>
        <v>HIGH</v>
      </c>
      <c r="F692" s="16">
        <f>VLOOKUP(C692,Sleep!C:F,4,FALSE)</f>
        <v>0.2951388889</v>
      </c>
      <c r="G692" s="12">
        <f>VLOOKUP(C692,Sleep!C:I,7,FALSE)</f>
        <v>0.9770114943</v>
      </c>
    </row>
    <row r="693">
      <c r="A693" s="4">
        <v>6.962181067E9</v>
      </c>
      <c r="B693" s="5">
        <v>42483.0</v>
      </c>
      <c r="C693" s="4" t="str">
        <f t="shared" si="1"/>
        <v>696218106742483</v>
      </c>
      <c r="D693" s="4">
        <v>20031.0</v>
      </c>
      <c r="E693" s="13" t="str">
        <f t="shared" si="40"/>
        <v>HIGH</v>
      </c>
      <c r="F693" s="16">
        <f>VLOOKUP(C693,Sleep!C:F,4,FALSE)</f>
        <v>0.3666666667</v>
      </c>
      <c r="G693" s="12">
        <f>VLOOKUP(C693,Sleep!C:I,7,FALSE)</f>
        <v>0.967032967</v>
      </c>
    </row>
    <row r="694">
      <c r="A694" s="4">
        <v>6.962181067E9</v>
      </c>
      <c r="B694" s="5">
        <v>42484.0</v>
      </c>
      <c r="C694" s="4" t="str">
        <f t="shared" si="1"/>
        <v>696218106742484</v>
      </c>
      <c r="D694" s="4">
        <v>5029.0</v>
      </c>
      <c r="E694" s="13" t="str">
        <f t="shared" si="40"/>
        <v>MEDIUM</v>
      </c>
      <c r="F694" s="16">
        <f>VLOOKUP(C694,Sleep!C:F,4,FALSE)</f>
        <v>0.3548611111</v>
      </c>
      <c r="G694" s="12">
        <f>VLOOKUP(C694,Sleep!C:I,7,FALSE)</f>
        <v>0.9941634241</v>
      </c>
    </row>
    <row r="695">
      <c r="A695" s="4">
        <v>6.962181067E9</v>
      </c>
      <c r="B695" s="5">
        <v>42485.0</v>
      </c>
      <c r="C695" s="4" t="str">
        <f t="shared" si="1"/>
        <v>696218106742485</v>
      </c>
      <c r="D695" s="4">
        <v>13239.0</v>
      </c>
      <c r="E695" s="13" t="str">
        <f t="shared" si="40"/>
        <v>HIGH</v>
      </c>
      <c r="F695" s="16">
        <f>VLOOKUP(C695,Sleep!C:F,4,FALSE)</f>
        <v>0.2777777778</v>
      </c>
      <c r="G695" s="12">
        <f>VLOOKUP(C695,Sleep!C:I,7,FALSE)</f>
        <v>0.9638554217</v>
      </c>
    </row>
    <row r="696">
      <c r="A696" s="4">
        <v>6.962181067E9</v>
      </c>
      <c r="B696" s="5">
        <v>42486.0</v>
      </c>
      <c r="C696" s="4" t="str">
        <f t="shared" si="1"/>
        <v>696218106742486</v>
      </c>
      <c r="D696" s="4">
        <v>10433.0</v>
      </c>
      <c r="E696" s="13" t="str">
        <f t="shared" si="40"/>
        <v>HIGH</v>
      </c>
      <c r="F696" s="16">
        <f>VLOOKUP(C696,Sleep!C:F,4,FALSE)</f>
        <v>0.30625</v>
      </c>
      <c r="G696" s="12">
        <f>VLOOKUP(C696,Sleep!C:I,7,FALSE)</f>
        <v>0.9887892377</v>
      </c>
    </row>
    <row r="697">
      <c r="A697" s="4">
        <v>6.962181067E9</v>
      </c>
      <c r="B697" s="5">
        <v>42487.0</v>
      </c>
      <c r="C697" s="4" t="str">
        <f t="shared" si="1"/>
        <v>696218106742487</v>
      </c>
      <c r="D697" s="4">
        <v>10320.0</v>
      </c>
      <c r="E697" s="13" t="str">
        <f t="shared" si="40"/>
        <v>HIGH</v>
      </c>
      <c r="F697" s="16">
        <f>VLOOKUP(C697,Sleep!C:F,4,FALSE)</f>
        <v>0.3159722222</v>
      </c>
      <c r="G697" s="12">
        <f>VLOOKUP(C697,Sleep!C:I,7,FALSE)</f>
        <v>0.9743040685</v>
      </c>
    </row>
    <row r="698">
      <c r="A698" s="4">
        <v>6.962181067E9</v>
      </c>
      <c r="B698" s="5">
        <v>42488.0</v>
      </c>
      <c r="C698" s="4" t="str">
        <f t="shared" si="1"/>
        <v>696218106742488</v>
      </c>
      <c r="D698" s="4">
        <v>12627.0</v>
      </c>
      <c r="E698" s="13" t="str">
        <f t="shared" si="40"/>
        <v>HIGH</v>
      </c>
      <c r="F698" s="16">
        <f>VLOOKUP(C698,Sleep!C:F,4,FALSE)</f>
        <v>0.3055555556</v>
      </c>
      <c r="G698" s="12">
        <f>VLOOKUP(C698,Sleep!C:I,7,FALSE)</f>
        <v>0.9713024283</v>
      </c>
    </row>
    <row r="699">
      <c r="A699" s="4">
        <v>6.962181067E9</v>
      </c>
      <c r="B699" s="5">
        <v>42489.0</v>
      </c>
      <c r="C699" s="4" t="str">
        <f t="shared" si="1"/>
        <v>696218106742489</v>
      </c>
      <c r="D699" s="4">
        <v>10762.0</v>
      </c>
      <c r="E699" s="13" t="str">
        <f t="shared" si="40"/>
        <v>HIGH</v>
      </c>
      <c r="F699" s="16">
        <f>VLOOKUP(C699,Sleep!C:F,4,FALSE)</f>
        <v>0.3006944444</v>
      </c>
      <c r="G699" s="12">
        <f>VLOOKUP(C699,Sleep!C:I,7,FALSE)</f>
        <v>0.9686800895</v>
      </c>
    </row>
    <row r="700">
      <c r="A700" s="4">
        <v>6.962181067E9</v>
      </c>
      <c r="B700" s="5">
        <v>42490.0</v>
      </c>
      <c r="C700" s="4" t="str">
        <f t="shared" si="1"/>
        <v>696218106742490</v>
      </c>
      <c r="D700" s="4">
        <v>10081.0</v>
      </c>
      <c r="E700" s="13" t="str">
        <f t="shared" si="40"/>
        <v>HIGH</v>
      </c>
      <c r="F700" s="16">
        <f>VLOOKUP(C700,Sleep!C:F,4,FALSE)</f>
        <v>0.2930555556</v>
      </c>
      <c r="G700" s="12">
        <f>VLOOKUP(C700,Sleep!C:I,7,FALSE)</f>
        <v>0.9952830189</v>
      </c>
    </row>
    <row r="701">
      <c r="A701" s="4">
        <v>6.962181067E9</v>
      </c>
      <c r="B701" s="5">
        <v>42491.0</v>
      </c>
      <c r="C701" s="4" t="str">
        <f t="shared" si="1"/>
        <v>696218106742491</v>
      </c>
      <c r="D701" s="4">
        <v>5454.0</v>
      </c>
      <c r="E701" s="13" t="str">
        <f t="shared" si="40"/>
        <v>MEDIUM</v>
      </c>
      <c r="F701" s="16">
        <f>VLOOKUP(C701,Sleep!C:F,4,FALSE)</f>
        <v>0.2854166667</v>
      </c>
      <c r="G701" s="12">
        <f>VLOOKUP(C701,Sleep!C:I,7,FALSE)</f>
        <v>0.9647887324</v>
      </c>
    </row>
    <row r="702">
      <c r="A702" s="4">
        <v>6.962181067E9</v>
      </c>
      <c r="B702" s="5">
        <v>42492.0</v>
      </c>
      <c r="C702" s="4" t="str">
        <f t="shared" si="1"/>
        <v>696218106742492</v>
      </c>
      <c r="D702" s="4">
        <v>12912.0</v>
      </c>
      <c r="E702" s="13" t="str">
        <f t="shared" si="40"/>
        <v>HIGH</v>
      </c>
      <c r="F702" s="16">
        <f>VLOOKUP(C702,Sleep!C:F,4,FALSE)</f>
        <v>0.3236111111</v>
      </c>
      <c r="G702" s="12">
        <f>VLOOKUP(C702,Sleep!C:I,7,FALSE)</f>
        <v>0.9668049793</v>
      </c>
    </row>
    <row r="703">
      <c r="A703" s="4">
        <v>6.962181067E9</v>
      </c>
      <c r="B703" s="5">
        <v>42493.0</v>
      </c>
      <c r="C703" s="4" t="str">
        <f t="shared" si="1"/>
        <v>696218106742493</v>
      </c>
      <c r="D703" s="4">
        <v>12109.0</v>
      </c>
      <c r="E703" s="13" t="str">
        <f t="shared" si="40"/>
        <v>HIGH</v>
      </c>
      <c r="F703" s="16">
        <f>VLOOKUP(C703,Sleep!C:F,4,FALSE)</f>
        <v>0.2736111111</v>
      </c>
      <c r="G703" s="12">
        <f>VLOOKUP(C703,Sleep!C:I,7,FALSE)</f>
        <v>0.9425837321</v>
      </c>
    </row>
    <row r="704">
      <c r="A704" s="4">
        <v>6.962181067E9</v>
      </c>
      <c r="B704" s="5">
        <v>42494.0</v>
      </c>
      <c r="C704" s="4" t="str">
        <f t="shared" si="1"/>
        <v>696218106742494</v>
      </c>
      <c r="D704" s="4">
        <v>10147.0</v>
      </c>
      <c r="E704" s="13" t="str">
        <f t="shared" si="40"/>
        <v>HIGH</v>
      </c>
      <c r="F704" s="16">
        <f>VLOOKUP(C704,Sleep!C:F,4,FALSE)</f>
        <v>0.3069444444</v>
      </c>
      <c r="G704" s="12">
        <f>VLOOKUP(C704,Sleep!C:I,7,FALSE)</f>
        <v>0.9714285714</v>
      </c>
    </row>
    <row r="705">
      <c r="A705" s="4">
        <v>6.962181067E9</v>
      </c>
      <c r="B705" s="5">
        <v>42495.0</v>
      </c>
      <c r="C705" s="4" t="str">
        <f t="shared" si="1"/>
        <v>696218106742495</v>
      </c>
      <c r="D705" s="4">
        <v>10524.0</v>
      </c>
      <c r="E705" s="13" t="str">
        <f t="shared" si="40"/>
        <v>HIGH</v>
      </c>
      <c r="F705" s="16">
        <f>VLOOKUP(C705,Sleep!C:F,4,FALSE)</f>
        <v>0.3243055556</v>
      </c>
      <c r="G705" s="12">
        <f>VLOOKUP(C705,Sleep!C:I,7,FALSE)</f>
        <v>0.9511201629</v>
      </c>
    </row>
    <row r="706">
      <c r="A706" s="4">
        <v>6.962181067E9</v>
      </c>
      <c r="B706" s="5">
        <v>42496.0</v>
      </c>
      <c r="C706" s="4" t="str">
        <f t="shared" si="1"/>
        <v>696218106742496</v>
      </c>
      <c r="D706" s="4">
        <v>5908.0</v>
      </c>
      <c r="E706" s="13" t="str">
        <f t="shared" si="40"/>
        <v>MEDIUM</v>
      </c>
      <c r="F706" s="16">
        <f>VLOOKUP(C706,Sleep!C:F,4,FALSE)</f>
        <v>0.3076388889</v>
      </c>
      <c r="G706" s="12">
        <f>VLOOKUP(C706,Sleep!C:I,7,FALSE)</f>
        <v>0.9588744589</v>
      </c>
    </row>
    <row r="707">
      <c r="A707" s="4">
        <v>6.962181067E9</v>
      </c>
      <c r="B707" s="5">
        <v>42497.0</v>
      </c>
      <c r="C707" s="4" t="str">
        <f t="shared" si="1"/>
        <v>696218106742497</v>
      </c>
      <c r="D707" s="4">
        <v>6815.0</v>
      </c>
      <c r="E707" s="13" t="str">
        <f t="shared" si="40"/>
        <v>MEDIUM</v>
      </c>
      <c r="F707" s="16">
        <f>VLOOKUP(C707,Sleep!C:F,4,FALSE)</f>
        <v>0.2069444444</v>
      </c>
      <c r="G707" s="12">
        <f>VLOOKUP(C707,Sleep!C:I,7,FALSE)</f>
        <v>0.8922155689</v>
      </c>
    </row>
    <row r="708">
      <c r="A708" s="4">
        <v>6.962181067E9</v>
      </c>
      <c r="B708" s="5">
        <v>42498.0</v>
      </c>
      <c r="C708" s="4" t="str">
        <f t="shared" si="1"/>
        <v>696218106742498</v>
      </c>
      <c r="D708" s="4">
        <v>4188.0</v>
      </c>
      <c r="E708" s="13" t="str">
        <f t="shared" si="40"/>
        <v>LOW</v>
      </c>
      <c r="F708" s="16">
        <f>VLOOKUP(C708,Sleep!C:F,4,FALSE)</f>
        <v>0.3756944444</v>
      </c>
      <c r="G708" s="12">
        <f>VLOOKUP(C708,Sleep!C:I,7,FALSE)</f>
        <v>0.9507908612</v>
      </c>
    </row>
    <row r="709">
      <c r="A709" s="4">
        <v>6.962181067E9</v>
      </c>
      <c r="B709" s="5">
        <v>42499.0</v>
      </c>
      <c r="C709" s="4" t="str">
        <f t="shared" si="1"/>
        <v>696218106742499</v>
      </c>
      <c r="D709" s="4">
        <v>12342.0</v>
      </c>
      <c r="E709" s="13" t="str">
        <f t="shared" si="40"/>
        <v>HIGH</v>
      </c>
      <c r="F709" s="16">
        <f>VLOOKUP(C709,Sleep!C:F,4,FALSE)</f>
        <v>0.3395833333</v>
      </c>
      <c r="G709" s="12">
        <f>VLOOKUP(C709,Sleep!C:I,7,FALSE)</f>
        <v>0.9839034205</v>
      </c>
    </row>
    <row r="710">
      <c r="A710" s="4">
        <v>6.962181067E9</v>
      </c>
      <c r="B710" s="5">
        <v>42500.0</v>
      </c>
      <c r="C710" s="4" t="str">
        <f t="shared" si="1"/>
        <v>696218106742500</v>
      </c>
      <c r="D710" s="4">
        <v>15448.0</v>
      </c>
      <c r="E710" s="13" t="str">
        <f t="shared" si="40"/>
        <v>HIGH</v>
      </c>
      <c r="F710" s="16">
        <f>VLOOKUP(C710,Sleep!C:F,4,FALSE)</f>
        <v>0.3256944444</v>
      </c>
      <c r="G710" s="12">
        <f>VLOOKUP(C710,Sleep!C:I,7,FALSE)</f>
        <v>0.9750519751</v>
      </c>
    </row>
    <row r="711">
      <c r="A711" s="4">
        <v>6.962181067E9</v>
      </c>
      <c r="B711" s="5">
        <v>42501.0</v>
      </c>
      <c r="C711" s="4" t="str">
        <f t="shared" si="1"/>
        <v>696218106742501</v>
      </c>
      <c r="D711" s="4">
        <v>6722.0</v>
      </c>
      <c r="E711" s="13" t="str">
        <f t="shared" si="40"/>
        <v>MEDIUM</v>
      </c>
      <c r="F711" s="16">
        <f>VLOOKUP(C711,Sleep!C:F,4,FALSE)</f>
        <v>0.3138888889</v>
      </c>
      <c r="G711" s="12">
        <f>VLOOKUP(C711,Sleep!C:I,7,FALSE)</f>
        <v>0.9416666667</v>
      </c>
    </row>
    <row r="712">
      <c r="A712" s="4">
        <v>6.962181067E9</v>
      </c>
      <c r="B712" s="5">
        <v>42502.0</v>
      </c>
      <c r="C712" s="4" t="str">
        <f t="shared" si="1"/>
        <v>696218106742502</v>
      </c>
      <c r="D712" s="4">
        <v>3587.0</v>
      </c>
      <c r="E712" s="13" t="str">
        <f t="shared" si="40"/>
        <v>LOW</v>
      </c>
      <c r="F712" s="16">
        <f>VLOOKUP(C712,Sleep!C:F,4,FALSE)</f>
        <v>0.3583333333</v>
      </c>
      <c r="G712" s="12">
        <f>VLOOKUP(C712,Sleep!C:I,7,FALSE)</f>
        <v>0.9644859813</v>
      </c>
    </row>
    <row r="713" hidden="1">
      <c r="A713" s="4">
        <v>7.007744171E9</v>
      </c>
      <c r="B713" s="5">
        <v>42472.0</v>
      </c>
      <c r="C713" s="4" t="str">
        <f t="shared" si="1"/>
        <v>700774417142472</v>
      </c>
      <c r="D713" s="4">
        <v>14172.0</v>
      </c>
      <c r="E713" s="4"/>
      <c r="F713" s="13" t="str">
        <f>VLOOKUP(C713,Sleep!C:F,4,FALSE)</f>
        <v>#N/A</v>
      </c>
    </row>
    <row r="714" hidden="1">
      <c r="A714" s="4">
        <v>7.007744171E9</v>
      </c>
      <c r="B714" s="5">
        <v>42473.0</v>
      </c>
      <c r="C714" s="4" t="str">
        <f t="shared" si="1"/>
        <v>700774417142473</v>
      </c>
      <c r="D714" s="4">
        <v>12862.0</v>
      </c>
      <c r="E714" s="4"/>
      <c r="F714" s="13" t="str">
        <f>VLOOKUP(C714,Sleep!C:F,4,FALSE)</f>
        <v>#N/A</v>
      </c>
    </row>
    <row r="715" hidden="1">
      <c r="A715" s="4">
        <v>7.007744171E9</v>
      </c>
      <c r="B715" s="5">
        <v>42474.0</v>
      </c>
      <c r="C715" s="4" t="str">
        <f t="shared" si="1"/>
        <v>700774417142474</v>
      </c>
      <c r="D715" s="4">
        <v>11179.0</v>
      </c>
      <c r="E715" s="4"/>
      <c r="F715" s="13" t="str">
        <f>VLOOKUP(C715,Sleep!C:F,4,FALSE)</f>
        <v>#N/A</v>
      </c>
    </row>
    <row r="716" hidden="1">
      <c r="A716" s="4">
        <v>7.007744171E9</v>
      </c>
      <c r="B716" s="5">
        <v>42475.0</v>
      </c>
      <c r="C716" s="4" t="str">
        <f t="shared" si="1"/>
        <v>700774417142475</v>
      </c>
      <c r="D716" s="4">
        <v>5273.0</v>
      </c>
      <c r="E716" s="4"/>
      <c r="F716" s="13" t="str">
        <f>VLOOKUP(C716,Sleep!C:F,4,FALSE)</f>
        <v>#N/A</v>
      </c>
    </row>
    <row r="717">
      <c r="A717" s="4">
        <v>7.007744171E9</v>
      </c>
      <c r="B717" s="5">
        <v>42476.0</v>
      </c>
      <c r="C717" s="4" t="str">
        <f t="shared" si="1"/>
        <v>700774417142476</v>
      </c>
      <c r="D717" s="4">
        <v>4631.0</v>
      </c>
      <c r="E717" s="13" t="str">
        <f>IF(D717&lt;5000, "LOW",IF(D717&lt;10000,"MEDIUM","HIGH"))</f>
        <v>LOW</v>
      </c>
      <c r="F717" s="16">
        <f>VLOOKUP(C717,Sleep!C:F,4,FALSE)</f>
        <v>0.05486111111</v>
      </c>
      <c r="G717" s="12">
        <f>VLOOKUP(C717,Sleep!C:I,7,FALSE)</f>
        <v>0.9634146341</v>
      </c>
    </row>
    <row r="718" hidden="1">
      <c r="A718" s="4">
        <v>7.007744171E9</v>
      </c>
      <c r="B718" s="5">
        <v>42477.0</v>
      </c>
      <c r="C718" s="4" t="str">
        <f t="shared" si="1"/>
        <v>700774417142477</v>
      </c>
      <c r="D718" s="4">
        <v>8059.0</v>
      </c>
      <c r="E718" s="4"/>
      <c r="F718" s="13" t="str">
        <f>VLOOKUP(C718,Sleep!C:F,4,FALSE)</f>
        <v>#N/A</v>
      </c>
    </row>
    <row r="719" hidden="1">
      <c r="A719" s="4">
        <v>7.007744171E9</v>
      </c>
      <c r="B719" s="5">
        <v>42478.0</v>
      </c>
      <c r="C719" s="4" t="str">
        <f t="shared" si="1"/>
        <v>700774417142478</v>
      </c>
      <c r="D719" s="4">
        <v>14816.0</v>
      </c>
      <c r="E719" s="4"/>
      <c r="F719" s="13" t="str">
        <f>VLOOKUP(C719,Sleep!C:F,4,FALSE)</f>
        <v>#N/A</v>
      </c>
    </row>
    <row r="720" hidden="1">
      <c r="A720" s="4">
        <v>7.007744171E9</v>
      </c>
      <c r="B720" s="5">
        <v>42479.0</v>
      </c>
      <c r="C720" s="4" t="str">
        <f t="shared" si="1"/>
        <v>700774417142479</v>
      </c>
      <c r="D720" s="4">
        <v>14194.0</v>
      </c>
      <c r="E720" s="4"/>
      <c r="F720" s="13" t="str">
        <f>VLOOKUP(C720,Sleep!C:F,4,FALSE)</f>
        <v>#N/A</v>
      </c>
    </row>
    <row r="721" hidden="1">
      <c r="A721" s="4">
        <v>7.007744171E9</v>
      </c>
      <c r="B721" s="5">
        <v>42480.0</v>
      </c>
      <c r="C721" s="4" t="str">
        <f t="shared" si="1"/>
        <v>700774417142480</v>
      </c>
      <c r="D721" s="4">
        <v>15566.0</v>
      </c>
      <c r="E721" s="4"/>
      <c r="F721" s="13" t="str">
        <f>VLOOKUP(C721,Sleep!C:F,4,FALSE)</f>
        <v>#N/A</v>
      </c>
    </row>
    <row r="722" hidden="1">
      <c r="A722" s="4">
        <v>7.007744171E9</v>
      </c>
      <c r="B722" s="5">
        <v>42481.0</v>
      </c>
      <c r="C722" s="4" t="str">
        <f t="shared" si="1"/>
        <v>700774417142481</v>
      </c>
      <c r="D722" s="4">
        <v>13744.0</v>
      </c>
      <c r="E722" s="4"/>
      <c r="F722" s="13" t="str">
        <f>VLOOKUP(C722,Sleep!C:F,4,FALSE)</f>
        <v>#N/A</v>
      </c>
    </row>
    <row r="723" hidden="1">
      <c r="A723" s="4">
        <v>7.007744171E9</v>
      </c>
      <c r="B723" s="5">
        <v>42482.0</v>
      </c>
      <c r="C723" s="4" t="str">
        <f t="shared" si="1"/>
        <v>700774417142482</v>
      </c>
      <c r="D723" s="4">
        <v>15299.0</v>
      </c>
      <c r="E723" s="4"/>
      <c r="F723" s="13" t="str">
        <f>VLOOKUP(C723,Sleep!C:F,4,FALSE)</f>
        <v>#N/A</v>
      </c>
    </row>
    <row r="724" hidden="1">
      <c r="A724" s="4">
        <v>7.007744171E9</v>
      </c>
      <c r="B724" s="5">
        <v>42483.0</v>
      </c>
      <c r="C724" s="4" t="str">
        <f t="shared" si="1"/>
        <v>700774417142483</v>
      </c>
      <c r="D724" s="4">
        <v>8093.0</v>
      </c>
      <c r="E724" s="4"/>
      <c r="F724" s="13" t="str">
        <f>VLOOKUP(C724,Sleep!C:F,4,FALSE)</f>
        <v>#N/A</v>
      </c>
    </row>
    <row r="725" hidden="1">
      <c r="A725" s="4">
        <v>7.007744171E9</v>
      </c>
      <c r="B725" s="5">
        <v>42484.0</v>
      </c>
      <c r="C725" s="4" t="str">
        <f t="shared" si="1"/>
        <v>700774417142484</v>
      </c>
      <c r="D725" s="4">
        <v>11085.0</v>
      </c>
      <c r="E725" s="4"/>
      <c r="F725" s="13" t="str">
        <f>VLOOKUP(C725,Sleep!C:F,4,FALSE)</f>
        <v>#N/A</v>
      </c>
    </row>
    <row r="726" hidden="1">
      <c r="A726" s="4">
        <v>7.007744171E9</v>
      </c>
      <c r="B726" s="5">
        <v>42485.0</v>
      </c>
      <c r="C726" s="4" t="str">
        <f t="shared" si="1"/>
        <v>700774417142485</v>
      </c>
      <c r="D726" s="4">
        <v>18229.0</v>
      </c>
      <c r="E726" s="4"/>
      <c r="F726" s="13" t="str">
        <f>VLOOKUP(C726,Sleep!C:F,4,FALSE)</f>
        <v>#N/A</v>
      </c>
    </row>
    <row r="727" hidden="1">
      <c r="A727" s="4">
        <v>7.007744171E9</v>
      </c>
      <c r="B727" s="5">
        <v>42486.0</v>
      </c>
      <c r="C727" s="4" t="str">
        <f t="shared" si="1"/>
        <v>700774417142486</v>
      </c>
      <c r="D727" s="4">
        <v>15090.0</v>
      </c>
      <c r="E727" s="4"/>
      <c r="F727" s="13" t="str">
        <f>VLOOKUP(C727,Sleep!C:F,4,FALSE)</f>
        <v>#N/A</v>
      </c>
    </row>
    <row r="728" hidden="1">
      <c r="A728" s="4">
        <v>7.007744171E9</v>
      </c>
      <c r="B728" s="5">
        <v>42487.0</v>
      </c>
      <c r="C728" s="4" t="str">
        <f t="shared" si="1"/>
        <v>700774417142487</v>
      </c>
      <c r="D728" s="4">
        <v>13541.0</v>
      </c>
      <c r="E728" s="4"/>
      <c r="F728" s="13" t="str">
        <f>VLOOKUP(C728,Sleep!C:F,4,FALSE)</f>
        <v>#N/A</v>
      </c>
    </row>
    <row r="729" hidden="1">
      <c r="A729" s="4">
        <v>7.007744171E9</v>
      </c>
      <c r="B729" s="5">
        <v>42488.0</v>
      </c>
      <c r="C729" s="4" t="str">
        <f t="shared" si="1"/>
        <v>700774417142488</v>
      </c>
      <c r="D729" s="4">
        <v>15128.0</v>
      </c>
      <c r="E729" s="4"/>
      <c r="F729" s="13" t="str">
        <f>VLOOKUP(C729,Sleep!C:F,4,FALSE)</f>
        <v>#N/A</v>
      </c>
    </row>
    <row r="730" hidden="1">
      <c r="A730" s="4">
        <v>7.007744171E9</v>
      </c>
      <c r="B730" s="5">
        <v>42489.0</v>
      </c>
      <c r="C730" s="4" t="str">
        <f t="shared" si="1"/>
        <v>700774417142489</v>
      </c>
      <c r="D730" s="4">
        <v>20067.0</v>
      </c>
      <c r="E730" s="4"/>
      <c r="F730" s="13" t="str">
        <f>VLOOKUP(C730,Sleep!C:F,4,FALSE)</f>
        <v>#N/A</v>
      </c>
    </row>
    <row r="731" hidden="1">
      <c r="A731" s="4">
        <v>7.007744171E9</v>
      </c>
      <c r="B731" s="5">
        <v>42490.0</v>
      </c>
      <c r="C731" s="4" t="str">
        <f t="shared" si="1"/>
        <v>700774417142490</v>
      </c>
      <c r="D731" s="4">
        <v>3761.0</v>
      </c>
      <c r="E731" s="4"/>
      <c r="F731" s="13" t="str">
        <f>VLOOKUP(C731,Sleep!C:F,4,FALSE)</f>
        <v>#N/A</v>
      </c>
    </row>
    <row r="732">
      <c r="A732" s="4">
        <v>7.007744171E9</v>
      </c>
      <c r="B732" s="5">
        <v>42491.0</v>
      </c>
      <c r="C732" s="4" t="str">
        <f t="shared" si="1"/>
        <v>700774417142491</v>
      </c>
      <c r="D732" s="4">
        <v>5600.0</v>
      </c>
      <c r="E732" s="13" t="str">
        <f>IF(D732&lt;5000, "LOW",IF(D732&lt;10000,"MEDIUM","HIGH"))</f>
        <v>MEDIUM</v>
      </c>
      <c r="F732" s="16">
        <f>VLOOKUP(C732,Sleep!C:F,4,FALSE)</f>
        <v>0.04027777778</v>
      </c>
      <c r="G732" s="12">
        <f>VLOOKUP(C732,Sleep!C:I,7,FALSE)</f>
        <v>0.9508196721</v>
      </c>
    </row>
    <row r="733" hidden="1">
      <c r="A733" s="4">
        <v>7.007744171E9</v>
      </c>
      <c r="B733" s="5">
        <v>42492.0</v>
      </c>
      <c r="C733" s="4" t="str">
        <f t="shared" si="1"/>
        <v>700774417142492</v>
      </c>
      <c r="D733" s="4">
        <v>13041.0</v>
      </c>
      <c r="E733" s="4"/>
      <c r="F733" s="13" t="str">
        <f>VLOOKUP(C733,Sleep!C:F,4,FALSE)</f>
        <v>#N/A</v>
      </c>
    </row>
    <row r="734" hidden="1">
      <c r="A734" s="4">
        <v>7.007744171E9</v>
      </c>
      <c r="B734" s="5">
        <v>42493.0</v>
      </c>
      <c r="C734" s="4" t="str">
        <f t="shared" si="1"/>
        <v>700774417142493</v>
      </c>
      <c r="D734" s="4">
        <v>14510.0</v>
      </c>
      <c r="E734" s="4"/>
      <c r="F734" s="13" t="str">
        <f>VLOOKUP(C734,Sleep!C:F,4,FALSE)</f>
        <v>#N/A</v>
      </c>
    </row>
    <row r="735" hidden="1">
      <c r="A735" s="4">
        <v>7.007744171E9</v>
      </c>
      <c r="B735" s="5">
        <v>42494.0</v>
      </c>
      <c r="C735" s="4" t="str">
        <f t="shared" si="1"/>
        <v>700774417142494</v>
      </c>
      <c r="D735" s="4">
        <v>0.0</v>
      </c>
      <c r="E735" s="4"/>
      <c r="F735" s="13" t="str">
        <f>VLOOKUP(C735,Sleep!C:F,4,FALSE)</f>
        <v>#N/A</v>
      </c>
    </row>
    <row r="736" hidden="1">
      <c r="A736" s="4">
        <v>7.007744171E9</v>
      </c>
      <c r="B736" s="5">
        <v>42495.0</v>
      </c>
      <c r="C736" s="4" t="str">
        <f t="shared" si="1"/>
        <v>700774417142495</v>
      </c>
      <c r="D736" s="4">
        <v>15010.0</v>
      </c>
      <c r="E736" s="4"/>
      <c r="F736" s="13" t="str">
        <f>VLOOKUP(C736,Sleep!C:F,4,FALSE)</f>
        <v>#N/A</v>
      </c>
    </row>
    <row r="737" hidden="1">
      <c r="A737" s="4">
        <v>7.007744171E9</v>
      </c>
      <c r="B737" s="5">
        <v>42496.0</v>
      </c>
      <c r="C737" s="4" t="str">
        <f t="shared" si="1"/>
        <v>700774417142496</v>
      </c>
      <c r="D737" s="4">
        <v>11459.0</v>
      </c>
      <c r="E737" s="4"/>
      <c r="F737" s="13" t="str">
        <f>VLOOKUP(C737,Sleep!C:F,4,FALSE)</f>
        <v>#N/A</v>
      </c>
    </row>
    <row r="738" hidden="1">
      <c r="A738" s="4">
        <v>7.007744171E9</v>
      </c>
      <c r="B738" s="5">
        <v>42497.0</v>
      </c>
      <c r="C738" s="4" t="str">
        <f t="shared" si="1"/>
        <v>700774417142497</v>
      </c>
      <c r="D738" s="4">
        <v>0.0</v>
      </c>
      <c r="E738" s="4"/>
      <c r="F738" s="13" t="str">
        <f>VLOOKUP(C738,Sleep!C:F,4,FALSE)</f>
        <v>#N/A</v>
      </c>
    </row>
    <row r="739">
      <c r="A739" s="4">
        <v>7.086361926E9</v>
      </c>
      <c r="B739" s="5">
        <v>42472.0</v>
      </c>
      <c r="C739" s="4" t="str">
        <f t="shared" si="1"/>
        <v>708636192642472</v>
      </c>
      <c r="D739" s="4">
        <v>11317.0</v>
      </c>
      <c r="E739" s="13" t="str">
        <f t="shared" ref="E739:E742" si="41">IF(D739&lt;5000, "LOW",IF(D739&lt;10000,"MEDIUM","HIGH"))</f>
        <v>HIGH</v>
      </c>
      <c r="F739" s="16">
        <f>VLOOKUP(C739,Sleep!C:F,4,FALSE)</f>
        <v>0.3569444444</v>
      </c>
      <c r="G739" s="12">
        <f>VLOOKUP(C739,Sleep!C:I,7,FALSE)</f>
        <v>0.979047619</v>
      </c>
    </row>
    <row r="740">
      <c r="A740" s="4">
        <v>7.086361926E9</v>
      </c>
      <c r="B740" s="5">
        <v>42473.0</v>
      </c>
      <c r="C740" s="4" t="str">
        <f t="shared" si="1"/>
        <v>708636192642473</v>
      </c>
      <c r="D740" s="4">
        <v>5813.0</v>
      </c>
      <c r="E740" s="13" t="str">
        <f t="shared" si="41"/>
        <v>MEDIUM</v>
      </c>
      <c r="F740" s="16">
        <f>VLOOKUP(C740,Sleep!C:F,4,FALSE)</f>
        <v>0.3131944444</v>
      </c>
      <c r="G740" s="12">
        <f>VLOOKUP(C740,Sleep!C:I,7,FALSE)</f>
        <v>0.9698924731</v>
      </c>
    </row>
    <row r="741">
      <c r="A741" s="4">
        <v>7.086361926E9</v>
      </c>
      <c r="B741" s="5">
        <v>42474.0</v>
      </c>
      <c r="C741" s="4" t="str">
        <f t="shared" si="1"/>
        <v>708636192642474</v>
      </c>
      <c r="D741" s="4">
        <v>9123.0</v>
      </c>
      <c r="E741" s="13" t="str">
        <f t="shared" si="41"/>
        <v>MEDIUM</v>
      </c>
      <c r="F741" s="16">
        <f>VLOOKUP(C741,Sleep!C:F,4,FALSE)</f>
        <v>0.3277777778</v>
      </c>
      <c r="G741" s="12">
        <f>VLOOKUP(C741,Sleep!C:I,7,FALSE)</f>
        <v>0.9915966387</v>
      </c>
    </row>
    <row r="742">
      <c r="A742" s="4">
        <v>7.086361926E9</v>
      </c>
      <c r="B742" s="5">
        <v>42475.0</v>
      </c>
      <c r="C742" s="4" t="str">
        <f t="shared" si="1"/>
        <v>708636192642475</v>
      </c>
      <c r="D742" s="4">
        <v>8585.0</v>
      </c>
      <c r="E742" s="13" t="str">
        <f t="shared" si="41"/>
        <v>MEDIUM</v>
      </c>
      <c r="F742" s="16">
        <f>VLOOKUP(C742,Sleep!C:F,4,FALSE)</f>
        <v>0.2618055556</v>
      </c>
      <c r="G742" s="12">
        <f>VLOOKUP(C742,Sleep!C:I,7,FALSE)</f>
        <v>0.9766839378</v>
      </c>
    </row>
    <row r="743" hidden="1">
      <c r="A743" s="4">
        <v>7.086361926E9</v>
      </c>
      <c r="B743" s="5">
        <v>42476.0</v>
      </c>
      <c r="C743" s="4" t="str">
        <f t="shared" si="1"/>
        <v>708636192642476</v>
      </c>
      <c r="D743" s="4">
        <v>31.0</v>
      </c>
      <c r="E743" s="4"/>
      <c r="F743" s="13" t="str">
        <f>VLOOKUP(C743,Sleep!C:F,4,FALSE)</f>
        <v>#N/A</v>
      </c>
    </row>
    <row r="744" hidden="1">
      <c r="A744" s="4">
        <v>7.086361926E9</v>
      </c>
      <c r="B744" s="5">
        <v>42477.0</v>
      </c>
      <c r="C744" s="4" t="str">
        <f t="shared" si="1"/>
        <v>708636192642477</v>
      </c>
      <c r="D744" s="4">
        <v>0.0</v>
      </c>
      <c r="E744" s="4"/>
      <c r="F744" s="13" t="str">
        <f>VLOOKUP(C744,Sleep!C:F,4,FALSE)</f>
        <v>#N/A</v>
      </c>
    </row>
    <row r="745" hidden="1">
      <c r="A745" s="4">
        <v>7.086361926E9</v>
      </c>
      <c r="B745" s="5">
        <v>42478.0</v>
      </c>
      <c r="C745" s="4" t="str">
        <f t="shared" si="1"/>
        <v>708636192642478</v>
      </c>
      <c r="D745" s="4">
        <v>9827.0</v>
      </c>
      <c r="E745" s="4"/>
      <c r="F745" s="13" t="str">
        <f>VLOOKUP(C745,Sleep!C:F,4,FALSE)</f>
        <v>#N/A</v>
      </c>
    </row>
    <row r="746">
      <c r="A746" s="4">
        <v>7.086361926E9</v>
      </c>
      <c r="B746" s="5">
        <v>42479.0</v>
      </c>
      <c r="C746" s="4" t="str">
        <f t="shared" si="1"/>
        <v>708636192642479</v>
      </c>
      <c r="D746" s="4">
        <v>10688.0</v>
      </c>
      <c r="E746" s="13" t="str">
        <f t="shared" ref="E746:E749" si="42">IF(D746&lt;5000, "LOW",IF(D746&lt;10000,"MEDIUM","HIGH"))</f>
        <v>HIGH</v>
      </c>
      <c r="F746" s="16">
        <f>VLOOKUP(C746,Sleep!C:F,4,FALSE)</f>
        <v>0.3277777778</v>
      </c>
      <c r="G746" s="12">
        <f>VLOOKUP(C746,Sleep!C:I,7,FALSE)</f>
        <v>0.9772256729</v>
      </c>
    </row>
    <row r="747">
      <c r="A747" s="4">
        <v>7.086361926E9</v>
      </c>
      <c r="B747" s="5">
        <v>42480.0</v>
      </c>
      <c r="C747" s="4" t="str">
        <f t="shared" si="1"/>
        <v>708636192642480</v>
      </c>
      <c r="D747" s="4">
        <v>14365.0</v>
      </c>
      <c r="E747" s="13" t="str">
        <f t="shared" si="42"/>
        <v>HIGH</v>
      </c>
      <c r="F747" s="16">
        <f>VLOOKUP(C747,Sleep!C:F,4,FALSE)</f>
        <v>0.3416666667</v>
      </c>
      <c r="G747" s="12">
        <f>VLOOKUP(C747,Sleep!C:I,7,FALSE)</f>
        <v>0.9800796813</v>
      </c>
    </row>
    <row r="748">
      <c r="A748" s="4">
        <v>7.086361926E9</v>
      </c>
      <c r="B748" s="5">
        <v>42481.0</v>
      </c>
      <c r="C748" s="4" t="str">
        <f t="shared" si="1"/>
        <v>708636192642481</v>
      </c>
      <c r="D748" s="4">
        <v>9469.0</v>
      </c>
      <c r="E748" s="13" t="str">
        <f t="shared" si="42"/>
        <v>MEDIUM</v>
      </c>
      <c r="F748" s="16">
        <f>VLOOKUP(C748,Sleep!C:F,4,FALSE)</f>
        <v>0.2708333333</v>
      </c>
      <c r="G748" s="12">
        <f>VLOOKUP(C748,Sleep!C:I,7,FALSE)</f>
        <v>0.9489051095</v>
      </c>
    </row>
    <row r="749">
      <c r="A749" s="4">
        <v>7.086361926E9</v>
      </c>
      <c r="B749" s="5">
        <v>42482.0</v>
      </c>
      <c r="C749" s="4" t="str">
        <f t="shared" si="1"/>
        <v>708636192642482</v>
      </c>
      <c r="D749" s="4">
        <v>9753.0</v>
      </c>
      <c r="E749" s="13" t="str">
        <f t="shared" si="42"/>
        <v>MEDIUM</v>
      </c>
      <c r="F749" s="16">
        <f>VLOOKUP(C749,Sleep!C:F,4,FALSE)</f>
        <v>0.2972222222</v>
      </c>
      <c r="G749" s="12">
        <f>VLOOKUP(C749,Sleep!C:I,7,FALSE)</f>
        <v>0.9553571429</v>
      </c>
    </row>
    <row r="750" hidden="1">
      <c r="A750" s="4">
        <v>7.086361926E9</v>
      </c>
      <c r="B750" s="5">
        <v>42483.0</v>
      </c>
      <c r="C750" s="4" t="str">
        <f t="shared" si="1"/>
        <v>708636192642483</v>
      </c>
      <c r="D750" s="4">
        <v>2817.0</v>
      </c>
      <c r="E750" s="4"/>
      <c r="F750" s="13" t="str">
        <f>VLOOKUP(C750,Sleep!C:F,4,FALSE)</f>
        <v>#N/A</v>
      </c>
    </row>
    <row r="751">
      <c r="A751" s="4">
        <v>7.086361926E9</v>
      </c>
      <c r="B751" s="5">
        <v>42484.0</v>
      </c>
      <c r="C751" s="4" t="str">
        <f t="shared" si="1"/>
        <v>708636192642484</v>
      </c>
      <c r="D751" s="4">
        <v>3520.0</v>
      </c>
      <c r="E751" s="13" t="str">
        <f t="shared" ref="E751:E755" si="43">IF(D751&lt;5000, "LOW",IF(D751&lt;10000,"MEDIUM","HIGH"))</f>
        <v>LOW</v>
      </c>
      <c r="F751" s="16">
        <f>VLOOKUP(C751,Sleep!C:F,4,FALSE)</f>
        <v>0.4729166667</v>
      </c>
      <c r="G751" s="12">
        <f>VLOOKUP(C751,Sleep!C:I,7,FALSE)</f>
        <v>0.9673295455</v>
      </c>
    </row>
    <row r="752">
      <c r="A752" s="4">
        <v>7.086361926E9</v>
      </c>
      <c r="B752" s="5">
        <v>42485.0</v>
      </c>
      <c r="C752" s="4" t="str">
        <f t="shared" si="1"/>
        <v>708636192642485</v>
      </c>
      <c r="D752" s="4">
        <v>10091.0</v>
      </c>
      <c r="E752" s="13" t="str">
        <f t="shared" si="43"/>
        <v>HIGH</v>
      </c>
      <c r="F752" s="16">
        <f>VLOOKUP(C752,Sleep!C:F,4,FALSE)</f>
        <v>0.3097222222</v>
      </c>
      <c r="G752" s="12">
        <f>VLOOKUP(C752,Sleep!C:I,7,FALSE)</f>
        <v>0.9977628635</v>
      </c>
    </row>
    <row r="753">
      <c r="A753" s="4">
        <v>7.086361926E9</v>
      </c>
      <c r="B753" s="5">
        <v>42486.0</v>
      </c>
      <c r="C753" s="4" t="str">
        <f t="shared" si="1"/>
        <v>708636192642486</v>
      </c>
      <c r="D753" s="4">
        <v>10387.0</v>
      </c>
      <c r="E753" s="13" t="str">
        <f t="shared" si="43"/>
        <v>HIGH</v>
      </c>
      <c r="F753" s="16">
        <f>VLOOKUP(C753,Sleep!C:F,4,FALSE)</f>
        <v>0.3368055556</v>
      </c>
      <c r="G753" s="12">
        <f>VLOOKUP(C753,Sleep!C:I,7,FALSE)</f>
        <v>0.97</v>
      </c>
    </row>
    <row r="754">
      <c r="A754" s="4">
        <v>7.086361926E9</v>
      </c>
      <c r="B754" s="5">
        <v>42487.0</v>
      </c>
      <c r="C754" s="4" t="str">
        <f t="shared" si="1"/>
        <v>708636192642487</v>
      </c>
      <c r="D754" s="4">
        <v>11107.0</v>
      </c>
      <c r="E754" s="13" t="str">
        <f t="shared" si="43"/>
        <v>HIGH</v>
      </c>
      <c r="F754" s="16">
        <f>VLOOKUP(C754,Sleep!C:F,4,FALSE)</f>
        <v>0.3256944444</v>
      </c>
      <c r="G754" s="12">
        <f>VLOOKUP(C754,Sleep!C:I,7,FALSE)</f>
        <v>0.9791231733</v>
      </c>
    </row>
    <row r="755">
      <c r="A755" s="4">
        <v>7.086361926E9</v>
      </c>
      <c r="B755" s="5">
        <v>42488.0</v>
      </c>
      <c r="C755" s="4" t="str">
        <f t="shared" si="1"/>
        <v>708636192642488</v>
      </c>
      <c r="D755" s="4">
        <v>11584.0</v>
      </c>
      <c r="E755" s="13" t="str">
        <f t="shared" si="43"/>
        <v>HIGH</v>
      </c>
      <c r="F755" s="16">
        <f>VLOOKUP(C755,Sleep!C:F,4,FALSE)</f>
        <v>0.2458333333</v>
      </c>
      <c r="G755" s="12">
        <f>VLOOKUP(C755,Sleep!C:I,7,FALSE)</f>
        <v>0.9645776567</v>
      </c>
    </row>
    <row r="756" hidden="1">
      <c r="A756" s="4">
        <v>7.086361926E9</v>
      </c>
      <c r="B756" s="5">
        <v>42489.0</v>
      </c>
      <c r="C756" s="4" t="str">
        <f t="shared" si="1"/>
        <v>708636192642489</v>
      </c>
      <c r="D756" s="4">
        <v>7881.0</v>
      </c>
      <c r="E756" s="4"/>
      <c r="F756" s="13" t="str">
        <f>VLOOKUP(C756,Sleep!C:F,4,FALSE)</f>
        <v>#N/A</v>
      </c>
    </row>
    <row r="757">
      <c r="A757" s="4">
        <v>7.086361926E9</v>
      </c>
      <c r="B757" s="5">
        <v>42490.0</v>
      </c>
      <c r="C757" s="4" t="str">
        <f t="shared" si="1"/>
        <v>708636192642490</v>
      </c>
      <c r="D757" s="4">
        <v>14560.0</v>
      </c>
      <c r="E757" s="13" t="str">
        <f t="shared" ref="E757:E761" si="44">IF(D757&lt;5000, "LOW",IF(D757&lt;10000,"MEDIUM","HIGH"))</f>
        <v>HIGH</v>
      </c>
      <c r="F757" s="16">
        <f>VLOOKUP(C757,Sleep!C:F,4,FALSE)</f>
        <v>0.3368055556</v>
      </c>
      <c r="G757" s="12">
        <f>VLOOKUP(C757,Sleep!C:I,7,FALSE)</f>
        <v>0.9918200409</v>
      </c>
    </row>
    <row r="758">
      <c r="A758" s="4">
        <v>7.086361926E9</v>
      </c>
      <c r="B758" s="5">
        <v>42491.0</v>
      </c>
      <c r="C758" s="4" t="str">
        <f t="shared" si="1"/>
        <v>708636192642491</v>
      </c>
      <c r="D758" s="4">
        <v>12390.0</v>
      </c>
      <c r="E758" s="13" t="str">
        <f t="shared" si="44"/>
        <v>HIGH</v>
      </c>
      <c r="F758" s="16">
        <f>VLOOKUP(C758,Sleep!C:F,4,FALSE)</f>
        <v>0.2694444444</v>
      </c>
      <c r="G758" s="12">
        <f>VLOOKUP(C758,Sleep!C:I,7,FALSE)</f>
        <v>0.9533169533</v>
      </c>
    </row>
    <row r="759">
      <c r="A759" s="4">
        <v>7.086361926E9</v>
      </c>
      <c r="B759" s="5">
        <v>42492.0</v>
      </c>
      <c r="C759" s="4" t="str">
        <f t="shared" si="1"/>
        <v>708636192642492</v>
      </c>
      <c r="D759" s="4">
        <v>10052.0</v>
      </c>
      <c r="E759" s="13" t="str">
        <f t="shared" si="44"/>
        <v>HIGH</v>
      </c>
      <c r="F759" s="16">
        <f>VLOOKUP(C759,Sleep!C:F,4,FALSE)</f>
        <v>0.3055555556</v>
      </c>
      <c r="G759" s="12">
        <f>VLOOKUP(C759,Sleep!C:I,7,FALSE)</f>
        <v>0.9586056645</v>
      </c>
    </row>
    <row r="760">
      <c r="A760" s="4">
        <v>7.086361926E9</v>
      </c>
      <c r="B760" s="5">
        <v>42493.0</v>
      </c>
      <c r="C760" s="4" t="str">
        <f t="shared" si="1"/>
        <v>708636192642493</v>
      </c>
      <c r="D760" s="4">
        <v>10288.0</v>
      </c>
      <c r="E760" s="13" t="str">
        <f t="shared" si="44"/>
        <v>HIGH</v>
      </c>
      <c r="F760" s="16">
        <f>VLOOKUP(C760,Sleep!C:F,4,FALSE)</f>
        <v>0.3166666667</v>
      </c>
      <c r="G760" s="12">
        <f>VLOOKUP(C760,Sleep!C:I,7,FALSE)</f>
        <v>0.989154013</v>
      </c>
    </row>
    <row r="761">
      <c r="A761" s="4">
        <v>7.086361926E9</v>
      </c>
      <c r="B761" s="5">
        <v>42494.0</v>
      </c>
      <c r="C761" s="4" t="str">
        <f t="shared" si="1"/>
        <v>708636192642494</v>
      </c>
      <c r="D761" s="4">
        <v>10988.0</v>
      </c>
      <c r="E761" s="13" t="str">
        <f t="shared" si="44"/>
        <v>HIGH</v>
      </c>
      <c r="F761" s="16">
        <f>VLOOKUP(C761,Sleep!C:F,4,FALSE)</f>
        <v>0.2916666667</v>
      </c>
      <c r="G761" s="12">
        <f>VLOOKUP(C761,Sleep!C:I,7,FALSE)</f>
        <v>0.9633027523</v>
      </c>
    </row>
    <row r="762" hidden="1">
      <c r="A762" s="4">
        <v>7.086361926E9</v>
      </c>
      <c r="B762" s="5">
        <v>42495.0</v>
      </c>
      <c r="C762" s="4" t="str">
        <f t="shared" si="1"/>
        <v>708636192642495</v>
      </c>
      <c r="D762" s="4">
        <v>8564.0</v>
      </c>
      <c r="E762" s="4"/>
      <c r="F762" s="13" t="str">
        <f>VLOOKUP(C762,Sleep!C:F,4,FALSE)</f>
        <v>#N/A</v>
      </c>
    </row>
    <row r="763">
      <c r="A763" s="4">
        <v>7.086361926E9</v>
      </c>
      <c r="B763" s="5">
        <v>42496.0</v>
      </c>
      <c r="C763" s="4" t="str">
        <f t="shared" si="1"/>
        <v>708636192642496</v>
      </c>
      <c r="D763" s="4">
        <v>12461.0</v>
      </c>
      <c r="E763" s="13" t="str">
        <f t="shared" ref="E763:E766" si="45">IF(D763&lt;5000, "LOW",IF(D763&lt;10000,"MEDIUM","HIGH"))</f>
        <v>HIGH</v>
      </c>
      <c r="F763" s="16">
        <f>VLOOKUP(C763,Sleep!C:F,4,FALSE)</f>
        <v>0.2236111111</v>
      </c>
      <c r="G763" s="12">
        <f>VLOOKUP(C763,Sleep!C:I,7,FALSE)</f>
        <v>0.966966967</v>
      </c>
    </row>
    <row r="764">
      <c r="A764" s="4">
        <v>7.086361926E9</v>
      </c>
      <c r="B764" s="5">
        <v>42497.0</v>
      </c>
      <c r="C764" s="4" t="str">
        <f t="shared" si="1"/>
        <v>708636192642497</v>
      </c>
      <c r="D764" s="4">
        <v>12827.0</v>
      </c>
      <c r="E764" s="13" t="str">
        <f t="shared" si="45"/>
        <v>HIGH</v>
      </c>
      <c r="F764" s="16">
        <f>VLOOKUP(C764,Sleep!C:F,4,FALSE)</f>
        <v>0.3680555556</v>
      </c>
      <c r="G764" s="12">
        <f>VLOOKUP(C764,Sleep!C:I,7,FALSE)</f>
        <v>0.9671532847</v>
      </c>
    </row>
    <row r="765">
      <c r="A765" s="4">
        <v>7.086361926E9</v>
      </c>
      <c r="B765" s="5">
        <v>42498.0</v>
      </c>
      <c r="C765" s="4" t="str">
        <f t="shared" si="1"/>
        <v>708636192642498</v>
      </c>
      <c r="D765" s="4">
        <v>10677.0</v>
      </c>
      <c r="E765" s="13" t="str">
        <f t="shared" si="45"/>
        <v>HIGH</v>
      </c>
      <c r="F765" s="16">
        <f>VLOOKUP(C765,Sleep!C:F,4,FALSE)</f>
        <v>0.3340277778</v>
      </c>
      <c r="G765" s="12">
        <f>VLOOKUP(C765,Sleep!C:I,7,FALSE)</f>
        <v>0.9431372549</v>
      </c>
    </row>
    <row r="766">
      <c r="A766" s="4">
        <v>7.086361926E9</v>
      </c>
      <c r="B766" s="5">
        <v>42499.0</v>
      </c>
      <c r="C766" s="4" t="str">
        <f t="shared" si="1"/>
        <v>708636192642499</v>
      </c>
      <c r="D766" s="4">
        <v>13566.0</v>
      </c>
      <c r="E766" s="13" t="str">
        <f t="shared" si="45"/>
        <v>HIGH</v>
      </c>
      <c r="F766" s="16">
        <f>VLOOKUP(C766,Sleep!C:F,4,FALSE)</f>
        <v>0.2965277778</v>
      </c>
      <c r="G766" s="12">
        <f>VLOOKUP(C766,Sleep!C:I,7,FALSE)</f>
        <v>0.9748858447</v>
      </c>
    </row>
    <row r="767" hidden="1">
      <c r="A767" s="4">
        <v>7.086361926E9</v>
      </c>
      <c r="B767" s="5">
        <v>42500.0</v>
      </c>
      <c r="C767" s="4" t="str">
        <f t="shared" si="1"/>
        <v>708636192642500</v>
      </c>
      <c r="D767" s="4">
        <v>14433.0</v>
      </c>
      <c r="E767" s="4"/>
      <c r="F767" s="13" t="str">
        <f>VLOOKUP(C767,Sleep!C:F,4,FALSE)</f>
        <v>#N/A</v>
      </c>
    </row>
    <row r="768">
      <c r="A768" s="4">
        <v>7.086361926E9</v>
      </c>
      <c r="B768" s="5">
        <v>42501.0</v>
      </c>
      <c r="C768" s="4" t="str">
        <f t="shared" si="1"/>
        <v>708636192642501</v>
      </c>
      <c r="D768" s="4">
        <v>9572.0</v>
      </c>
      <c r="E768" s="13" t="str">
        <f t="shared" ref="E768:E769" si="46">IF(D768&lt;5000, "LOW",IF(D768&lt;10000,"MEDIUM","HIGH"))</f>
        <v>MEDIUM</v>
      </c>
      <c r="F768" s="16">
        <f>VLOOKUP(C768,Sleep!C:F,4,FALSE)</f>
        <v>0.3131944444</v>
      </c>
      <c r="G768" s="12">
        <f>VLOOKUP(C768,Sleep!C:I,7,FALSE)</f>
        <v>0.9740820734</v>
      </c>
    </row>
    <row r="769">
      <c r="A769" s="4">
        <v>7.086361926E9</v>
      </c>
      <c r="B769" s="5">
        <v>42502.0</v>
      </c>
      <c r="C769" s="4" t="str">
        <f t="shared" si="1"/>
        <v>708636192642502</v>
      </c>
      <c r="D769" s="4">
        <v>3789.0</v>
      </c>
      <c r="E769" s="13" t="str">
        <f t="shared" si="46"/>
        <v>LOW</v>
      </c>
      <c r="F769" s="16">
        <f>VLOOKUP(C769,Sleep!C:F,4,FALSE)</f>
        <v>0.3083333333</v>
      </c>
      <c r="G769" s="12">
        <f>VLOOKUP(C769,Sleep!C:I,7,FALSE)</f>
        <v>0.9715536105</v>
      </c>
    </row>
    <row r="770" hidden="1">
      <c r="A770" s="4">
        <v>8.053475328E9</v>
      </c>
      <c r="B770" s="5">
        <v>42472.0</v>
      </c>
      <c r="C770" s="4" t="str">
        <f t="shared" si="1"/>
        <v>805347532842472</v>
      </c>
      <c r="D770" s="4">
        <v>18060.0</v>
      </c>
      <c r="E770" s="4"/>
      <c r="F770" s="13" t="str">
        <f>VLOOKUP(C770,Sleep!C:F,4,FALSE)</f>
        <v>#N/A</v>
      </c>
    </row>
    <row r="771" hidden="1">
      <c r="A771" s="4">
        <v>8.053475328E9</v>
      </c>
      <c r="B771" s="5">
        <v>42473.0</v>
      </c>
      <c r="C771" s="4" t="str">
        <f t="shared" si="1"/>
        <v>805347532842473</v>
      </c>
      <c r="D771" s="4">
        <v>16433.0</v>
      </c>
      <c r="E771" s="4"/>
      <c r="F771" s="13" t="str">
        <f>VLOOKUP(C771,Sleep!C:F,4,FALSE)</f>
        <v>#N/A</v>
      </c>
    </row>
    <row r="772" hidden="1">
      <c r="A772" s="4">
        <v>8.053475328E9</v>
      </c>
      <c r="B772" s="5">
        <v>42474.0</v>
      </c>
      <c r="C772" s="4" t="str">
        <f t="shared" si="1"/>
        <v>805347532842474</v>
      </c>
      <c r="D772" s="4">
        <v>20159.0</v>
      </c>
      <c r="E772" s="4"/>
      <c r="F772" s="13" t="str">
        <f>VLOOKUP(C772,Sleep!C:F,4,FALSE)</f>
        <v>#N/A</v>
      </c>
    </row>
    <row r="773" hidden="1">
      <c r="A773" s="4">
        <v>8.053475328E9</v>
      </c>
      <c r="B773" s="5">
        <v>42475.0</v>
      </c>
      <c r="C773" s="4" t="str">
        <f t="shared" si="1"/>
        <v>805347532842475</v>
      </c>
      <c r="D773" s="4">
        <v>20669.0</v>
      </c>
      <c r="E773" s="4"/>
      <c r="F773" s="13" t="str">
        <f>VLOOKUP(C773,Sleep!C:F,4,FALSE)</f>
        <v>#N/A</v>
      </c>
    </row>
    <row r="774" hidden="1">
      <c r="A774" s="4">
        <v>8.053475328E9</v>
      </c>
      <c r="B774" s="5">
        <v>42476.0</v>
      </c>
      <c r="C774" s="4" t="str">
        <f t="shared" si="1"/>
        <v>805347532842476</v>
      </c>
      <c r="D774" s="4">
        <v>14549.0</v>
      </c>
      <c r="E774" s="4"/>
      <c r="F774" s="13" t="str">
        <f>VLOOKUP(C774,Sleep!C:F,4,FALSE)</f>
        <v>#N/A</v>
      </c>
    </row>
    <row r="775" hidden="1">
      <c r="A775" s="4">
        <v>8.053475328E9</v>
      </c>
      <c r="B775" s="5">
        <v>42477.0</v>
      </c>
      <c r="C775" s="4" t="str">
        <f t="shared" si="1"/>
        <v>805347532842477</v>
      </c>
      <c r="D775" s="4">
        <v>18827.0</v>
      </c>
      <c r="E775" s="4"/>
      <c r="F775" s="13" t="str">
        <f>VLOOKUP(C775,Sleep!C:F,4,FALSE)</f>
        <v>#N/A</v>
      </c>
    </row>
    <row r="776" hidden="1">
      <c r="A776" s="4">
        <v>8.053475328E9</v>
      </c>
      <c r="B776" s="5">
        <v>42478.0</v>
      </c>
      <c r="C776" s="4" t="str">
        <f t="shared" si="1"/>
        <v>805347532842478</v>
      </c>
      <c r="D776" s="4">
        <v>17076.0</v>
      </c>
      <c r="E776" s="4"/>
      <c r="F776" s="13" t="str">
        <f>VLOOKUP(C776,Sleep!C:F,4,FALSE)</f>
        <v>#N/A</v>
      </c>
    </row>
    <row r="777" hidden="1">
      <c r="A777" s="4">
        <v>8.053475328E9</v>
      </c>
      <c r="B777" s="5">
        <v>42479.0</v>
      </c>
      <c r="C777" s="4" t="str">
        <f t="shared" si="1"/>
        <v>805347532842479</v>
      </c>
      <c r="D777" s="4">
        <v>15929.0</v>
      </c>
      <c r="E777" s="4"/>
      <c r="F777" s="13" t="str">
        <f>VLOOKUP(C777,Sleep!C:F,4,FALSE)</f>
        <v>#N/A</v>
      </c>
    </row>
    <row r="778">
      <c r="A778" s="4">
        <v>8.053475328E9</v>
      </c>
      <c r="B778" s="5">
        <v>42480.0</v>
      </c>
      <c r="C778" s="4" t="str">
        <f t="shared" si="1"/>
        <v>805347532842480</v>
      </c>
      <c r="D778" s="4">
        <v>15108.0</v>
      </c>
      <c r="E778" s="13" t="str">
        <f>IF(D778&lt;5000, "LOW",IF(D778&lt;10000,"MEDIUM","HIGH"))</f>
        <v>HIGH</v>
      </c>
      <c r="F778" s="16">
        <f>VLOOKUP(C778,Sleep!C:F,4,FALSE)</f>
        <v>0.3375</v>
      </c>
      <c r="G778" s="12">
        <f>VLOOKUP(C778,Sleep!C:I,7,FALSE)</f>
        <v>0.985801217</v>
      </c>
    </row>
    <row r="779" hidden="1">
      <c r="A779" s="4">
        <v>8.053475328E9</v>
      </c>
      <c r="B779" s="5">
        <v>42481.0</v>
      </c>
      <c r="C779" s="4" t="str">
        <f t="shared" si="1"/>
        <v>805347532842481</v>
      </c>
      <c r="D779" s="4">
        <v>16057.0</v>
      </c>
      <c r="E779" s="4"/>
      <c r="F779" s="13" t="str">
        <f>VLOOKUP(C779,Sleep!C:F,4,FALSE)</f>
        <v>#N/A</v>
      </c>
    </row>
    <row r="780" hidden="1">
      <c r="A780" s="4">
        <v>8.053475328E9</v>
      </c>
      <c r="B780" s="5">
        <v>42482.0</v>
      </c>
      <c r="C780" s="4" t="str">
        <f t="shared" si="1"/>
        <v>805347532842482</v>
      </c>
      <c r="D780" s="4">
        <v>10520.0</v>
      </c>
      <c r="E780" s="4"/>
      <c r="F780" s="13" t="str">
        <f>VLOOKUP(C780,Sleep!C:F,4,FALSE)</f>
        <v>#N/A</v>
      </c>
    </row>
    <row r="781">
      <c r="A781" s="4">
        <v>8.053475328E9</v>
      </c>
      <c r="B781" s="5">
        <v>42483.0</v>
      </c>
      <c r="C781" s="4" t="str">
        <f t="shared" si="1"/>
        <v>805347532842483</v>
      </c>
      <c r="D781" s="4">
        <v>22359.0</v>
      </c>
      <c r="E781" s="13" t="str">
        <f>IF(D781&lt;5000, "LOW",IF(D781&lt;10000,"MEDIUM","HIGH"))</f>
        <v>HIGH</v>
      </c>
      <c r="F781" s="16">
        <f>VLOOKUP(C781,Sleep!C:F,4,FALSE)</f>
        <v>0.2298611111</v>
      </c>
      <c r="G781" s="12">
        <f>VLOOKUP(C781,Sleep!C:I,7,FALSE)</f>
        <v>0.9821958457</v>
      </c>
    </row>
    <row r="782" hidden="1">
      <c r="A782" s="4">
        <v>8.053475328E9</v>
      </c>
      <c r="B782" s="5">
        <v>42484.0</v>
      </c>
      <c r="C782" s="4" t="str">
        <f t="shared" si="1"/>
        <v>805347532842484</v>
      </c>
      <c r="D782" s="4">
        <v>22988.0</v>
      </c>
      <c r="E782" s="4"/>
      <c r="F782" s="13" t="str">
        <f>VLOOKUP(C782,Sleep!C:F,4,FALSE)</f>
        <v>#N/A</v>
      </c>
    </row>
    <row r="783" hidden="1">
      <c r="A783" s="4">
        <v>8.053475328E9</v>
      </c>
      <c r="B783" s="5">
        <v>42485.0</v>
      </c>
      <c r="C783" s="4" t="str">
        <f t="shared" si="1"/>
        <v>805347532842485</v>
      </c>
      <c r="D783" s="4">
        <v>20500.0</v>
      </c>
      <c r="E783" s="4"/>
      <c r="F783" s="13" t="str">
        <f>VLOOKUP(C783,Sleep!C:F,4,FALSE)</f>
        <v>#N/A</v>
      </c>
    </row>
    <row r="784" hidden="1">
      <c r="A784" s="4">
        <v>8.053475328E9</v>
      </c>
      <c r="B784" s="5">
        <v>42486.0</v>
      </c>
      <c r="C784" s="4" t="str">
        <f t="shared" si="1"/>
        <v>805347532842486</v>
      </c>
      <c r="D784" s="4">
        <v>12685.0</v>
      </c>
      <c r="E784" s="4"/>
      <c r="F784" s="13" t="str">
        <f>VLOOKUP(C784,Sleep!C:F,4,FALSE)</f>
        <v>#N/A</v>
      </c>
    </row>
    <row r="785" hidden="1">
      <c r="A785" s="4">
        <v>8.053475328E9</v>
      </c>
      <c r="B785" s="5">
        <v>42487.0</v>
      </c>
      <c r="C785" s="4" t="str">
        <f t="shared" si="1"/>
        <v>805347532842487</v>
      </c>
      <c r="D785" s="4">
        <v>12422.0</v>
      </c>
      <c r="E785" s="4"/>
      <c r="F785" s="13" t="str">
        <f>VLOOKUP(C785,Sleep!C:F,4,FALSE)</f>
        <v>#N/A</v>
      </c>
    </row>
    <row r="786" hidden="1">
      <c r="A786" s="4">
        <v>8.053475328E9</v>
      </c>
      <c r="B786" s="5">
        <v>42488.0</v>
      </c>
      <c r="C786" s="4" t="str">
        <f t="shared" si="1"/>
        <v>805347532842488</v>
      </c>
      <c r="D786" s="4">
        <v>15447.0</v>
      </c>
      <c r="E786" s="4"/>
      <c r="F786" s="13" t="str">
        <f>VLOOKUP(C786,Sleep!C:F,4,FALSE)</f>
        <v>#N/A</v>
      </c>
    </row>
    <row r="787" hidden="1">
      <c r="A787" s="4">
        <v>8.053475328E9</v>
      </c>
      <c r="B787" s="5">
        <v>42489.0</v>
      </c>
      <c r="C787" s="4" t="str">
        <f t="shared" si="1"/>
        <v>805347532842489</v>
      </c>
      <c r="D787" s="4">
        <v>12315.0</v>
      </c>
      <c r="E787" s="4"/>
      <c r="F787" s="13" t="str">
        <f>VLOOKUP(C787,Sleep!C:F,4,FALSE)</f>
        <v>#N/A</v>
      </c>
    </row>
    <row r="788" hidden="1">
      <c r="A788" s="4">
        <v>8.053475328E9</v>
      </c>
      <c r="B788" s="5">
        <v>42490.0</v>
      </c>
      <c r="C788" s="4" t="str">
        <f t="shared" si="1"/>
        <v>805347532842490</v>
      </c>
      <c r="D788" s="4">
        <v>7135.0</v>
      </c>
      <c r="E788" s="4"/>
      <c r="F788" s="13" t="str">
        <f>VLOOKUP(C788,Sleep!C:F,4,FALSE)</f>
        <v>#N/A</v>
      </c>
    </row>
    <row r="789" hidden="1">
      <c r="A789" s="4">
        <v>8.053475328E9</v>
      </c>
      <c r="B789" s="5">
        <v>42491.0</v>
      </c>
      <c r="C789" s="4" t="str">
        <f t="shared" si="1"/>
        <v>805347532842491</v>
      </c>
      <c r="D789" s="4">
        <v>1170.0</v>
      </c>
      <c r="E789" s="4"/>
      <c r="F789" s="13" t="str">
        <f>VLOOKUP(C789,Sleep!C:F,4,FALSE)</f>
        <v>#N/A</v>
      </c>
    </row>
    <row r="790" hidden="1">
      <c r="A790" s="4">
        <v>8.053475328E9</v>
      </c>
      <c r="B790" s="5">
        <v>42492.0</v>
      </c>
      <c r="C790" s="4" t="str">
        <f t="shared" si="1"/>
        <v>805347532842492</v>
      </c>
      <c r="D790" s="4">
        <v>1969.0</v>
      </c>
      <c r="E790" s="4"/>
      <c r="F790" s="13" t="str">
        <f>VLOOKUP(C790,Sleep!C:F,4,FALSE)</f>
        <v>#N/A</v>
      </c>
    </row>
    <row r="791" hidden="1">
      <c r="A791" s="4">
        <v>8.053475328E9</v>
      </c>
      <c r="B791" s="5">
        <v>42493.0</v>
      </c>
      <c r="C791" s="4" t="str">
        <f t="shared" si="1"/>
        <v>805347532842493</v>
      </c>
      <c r="D791" s="4">
        <v>15484.0</v>
      </c>
      <c r="E791" s="4"/>
      <c r="F791" s="13" t="str">
        <f>VLOOKUP(C791,Sleep!C:F,4,FALSE)</f>
        <v>#N/A</v>
      </c>
    </row>
    <row r="792" hidden="1">
      <c r="A792" s="4">
        <v>8.053475328E9</v>
      </c>
      <c r="B792" s="5">
        <v>42494.0</v>
      </c>
      <c r="C792" s="4" t="str">
        <f t="shared" si="1"/>
        <v>805347532842494</v>
      </c>
      <c r="D792" s="4">
        <v>14581.0</v>
      </c>
      <c r="E792" s="4"/>
      <c r="F792" s="13" t="str">
        <f>VLOOKUP(C792,Sleep!C:F,4,FALSE)</f>
        <v>#N/A</v>
      </c>
    </row>
    <row r="793" hidden="1">
      <c r="A793" s="4">
        <v>8.053475328E9</v>
      </c>
      <c r="B793" s="5">
        <v>42495.0</v>
      </c>
      <c r="C793" s="4" t="str">
        <f t="shared" si="1"/>
        <v>805347532842495</v>
      </c>
      <c r="D793" s="4">
        <v>14990.0</v>
      </c>
      <c r="E793" s="4"/>
      <c r="F793" s="13" t="str">
        <f>VLOOKUP(C793,Sleep!C:F,4,FALSE)</f>
        <v>#N/A</v>
      </c>
    </row>
    <row r="794" hidden="1">
      <c r="A794" s="4">
        <v>8.053475328E9</v>
      </c>
      <c r="B794" s="5">
        <v>42496.0</v>
      </c>
      <c r="C794" s="4" t="str">
        <f t="shared" si="1"/>
        <v>805347532842496</v>
      </c>
      <c r="D794" s="4">
        <v>13953.0</v>
      </c>
      <c r="E794" s="4"/>
      <c r="F794" s="13" t="str">
        <f>VLOOKUP(C794,Sleep!C:F,4,FALSE)</f>
        <v>#N/A</v>
      </c>
    </row>
    <row r="795">
      <c r="A795" s="4">
        <v>8.053475328E9</v>
      </c>
      <c r="B795" s="5">
        <v>42497.0</v>
      </c>
      <c r="C795" s="4" t="str">
        <f t="shared" si="1"/>
        <v>805347532842497</v>
      </c>
      <c r="D795" s="4">
        <v>19769.0</v>
      </c>
      <c r="E795" s="13" t="str">
        <f>IF(D795&lt;5000, "LOW",IF(D795&lt;10000,"MEDIUM","HIGH"))</f>
        <v>HIGH</v>
      </c>
      <c r="F795" s="16">
        <f>VLOOKUP(C795,Sleep!C:F,4,FALSE)</f>
        <v>0.05138888889</v>
      </c>
      <c r="G795" s="12">
        <f>VLOOKUP(C795,Sleep!C:I,7,FALSE)</f>
        <v>0.9866666667</v>
      </c>
    </row>
    <row r="796" hidden="1">
      <c r="A796" s="4">
        <v>8.053475328E9</v>
      </c>
      <c r="B796" s="5">
        <v>42498.0</v>
      </c>
      <c r="C796" s="4" t="str">
        <f t="shared" si="1"/>
        <v>805347532842498</v>
      </c>
      <c r="D796" s="4">
        <v>22026.0</v>
      </c>
      <c r="E796" s="4"/>
      <c r="F796" s="13" t="str">
        <f>VLOOKUP(C796,Sleep!C:F,4,FALSE)</f>
        <v>#N/A</v>
      </c>
    </row>
    <row r="797" hidden="1">
      <c r="A797" s="4">
        <v>8.053475328E9</v>
      </c>
      <c r="B797" s="5">
        <v>42499.0</v>
      </c>
      <c r="C797" s="4" t="str">
        <f t="shared" si="1"/>
        <v>805347532842499</v>
      </c>
      <c r="D797" s="4">
        <v>12465.0</v>
      </c>
      <c r="E797" s="4"/>
      <c r="F797" s="13" t="str">
        <f>VLOOKUP(C797,Sleep!C:F,4,FALSE)</f>
        <v>#N/A</v>
      </c>
    </row>
    <row r="798" hidden="1">
      <c r="A798" s="4">
        <v>8.053475328E9</v>
      </c>
      <c r="B798" s="5">
        <v>42500.0</v>
      </c>
      <c r="C798" s="4" t="str">
        <f t="shared" si="1"/>
        <v>805347532842500</v>
      </c>
      <c r="D798" s="4">
        <v>14810.0</v>
      </c>
      <c r="E798" s="4"/>
      <c r="F798" s="13" t="str">
        <f>VLOOKUP(C798,Sleep!C:F,4,FALSE)</f>
        <v>#N/A</v>
      </c>
    </row>
    <row r="799" hidden="1">
      <c r="A799" s="4">
        <v>8.053475328E9</v>
      </c>
      <c r="B799" s="5">
        <v>42501.0</v>
      </c>
      <c r="C799" s="4" t="str">
        <f t="shared" si="1"/>
        <v>805347532842501</v>
      </c>
      <c r="D799" s="4">
        <v>12209.0</v>
      </c>
      <c r="E799" s="4"/>
      <c r="F799" s="13" t="str">
        <f>VLOOKUP(C799,Sleep!C:F,4,FALSE)</f>
        <v>#N/A</v>
      </c>
    </row>
    <row r="800" hidden="1">
      <c r="A800" s="4">
        <v>8.053475328E9</v>
      </c>
      <c r="B800" s="5">
        <v>42502.0</v>
      </c>
      <c r="C800" s="4" t="str">
        <f t="shared" si="1"/>
        <v>805347532842502</v>
      </c>
      <c r="D800" s="4">
        <v>4998.0</v>
      </c>
      <c r="E800" s="4"/>
      <c r="F800" s="13" t="str">
        <f>VLOOKUP(C800,Sleep!C:F,4,FALSE)</f>
        <v>#N/A</v>
      </c>
    </row>
    <row r="801" hidden="1">
      <c r="A801" s="4">
        <v>8.253242879E9</v>
      </c>
      <c r="B801" s="5">
        <v>42472.0</v>
      </c>
      <c r="C801" s="4" t="str">
        <f t="shared" si="1"/>
        <v>825324287942472</v>
      </c>
      <c r="D801" s="4">
        <v>9033.0</v>
      </c>
      <c r="E801" s="4"/>
      <c r="F801" s="13" t="str">
        <f>VLOOKUP(C801,Sleep!C:F,4,FALSE)</f>
        <v>#N/A</v>
      </c>
    </row>
    <row r="802" hidden="1">
      <c r="A802" s="4">
        <v>8.253242879E9</v>
      </c>
      <c r="B802" s="5">
        <v>42473.0</v>
      </c>
      <c r="C802" s="4" t="str">
        <f t="shared" si="1"/>
        <v>825324287942473</v>
      </c>
      <c r="D802" s="4">
        <v>8053.0</v>
      </c>
      <c r="E802" s="4"/>
      <c r="F802" s="13" t="str">
        <f>VLOOKUP(C802,Sleep!C:F,4,FALSE)</f>
        <v>#N/A</v>
      </c>
    </row>
    <row r="803" hidden="1">
      <c r="A803" s="4">
        <v>8.253242879E9</v>
      </c>
      <c r="B803" s="5">
        <v>42474.0</v>
      </c>
      <c r="C803" s="4" t="str">
        <f t="shared" si="1"/>
        <v>825324287942474</v>
      </c>
      <c r="D803" s="4">
        <v>5234.0</v>
      </c>
      <c r="E803" s="4"/>
      <c r="F803" s="13" t="str">
        <f>VLOOKUP(C803,Sleep!C:F,4,FALSE)</f>
        <v>#N/A</v>
      </c>
    </row>
    <row r="804" hidden="1">
      <c r="A804" s="4">
        <v>8.253242879E9</v>
      </c>
      <c r="B804" s="5">
        <v>42475.0</v>
      </c>
      <c r="C804" s="4" t="str">
        <f t="shared" si="1"/>
        <v>825324287942475</v>
      </c>
      <c r="D804" s="4">
        <v>2672.0</v>
      </c>
      <c r="E804" s="4"/>
      <c r="F804" s="13" t="str">
        <f>VLOOKUP(C804,Sleep!C:F,4,FALSE)</f>
        <v>#N/A</v>
      </c>
    </row>
    <row r="805" hidden="1">
      <c r="A805" s="4">
        <v>8.253242879E9</v>
      </c>
      <c r="B805" s="5">
        <v>42476.0</v>
      </c>
      <c r="C805" s="4" t="str">
        <f t="shared" si="1"/>
        <v>825324287942476</v>
      </c>
      <c r="D805" s="4">
        <v>9256.0</v>
      </c>
      <c r="E805" s="4"/>
      <c r="F805" s="13" t="str">
        <f>VLOOKUP(C805,Sleep!C:F,4,FALSE)</f>
        <v>#N/A</v>
      </c>
    </row>
    <row r="806" hidden="1">
      <c r="A806" s="4">
        <v>8.253242879E9</v>
      </c>
      <c r="B806" s="5">
        <v>42477.0</v>
      </c>
      <c r="C806" s="4" t="str">
        <f t="shared" si="1"/>
        <v>825324287942477</v>
      </c>
      <c r="D806" s="4">
        <v>10204.0</v>
      </c>
      <c r="E806" s="4"/>
      <c r="F806" s="13" t="str">
        <f>VLOOKUP(C806,Sleep!C:F,4,FALSE)</f>
        <v>#N/A</v>
      </c>
    </row>
    <row r="807" hidden="1">
      <c r="A807" s="4">
        <v>8.253242879E9</v>
      </c>
      <c r="B807" s="5">
        <v>42478.0</v>
      </c>
      <c r="C807" s="4" t="str">
        <f t="shared" si="1"/>
        <v>825324287942478</v>
      </c>
      <c r="D807" s="4">
        <v>5151.0</v>
      </c>
      <c r="E807" s="4"/>
      <c r="F807" s="13" t="str">
        <f>VLOOKUP(C807,Sleep!C:F,4,FALSE)</f>
        <v>#N/A</v>
      </c>
    </row>
    <row r="808" hidden="1">
      <c r="A808" s="4">
        <v>8.253242879E9</v>
      </c>
      <c r="B808" s="5">
        <v>42479.0</v>
      </c>
      <c r="C808" s="4" t="str">
        <f t="shared" si="1"/>
        <v>825324287942479</v>
      </c>
      <c r="D808" s="4">
        <v>4212.0</v>
      </c>
      <c r="E808" s="4"/>
      <c r="F808" s="13" t="str">
        <f>VLOOKUP(C808,Sleep!C:F,4,FALSE)</f>
        <v>#N/A</v>
      </c>
    </row>
    <row r="809" hidden="1">
      <c r="A809" s="4">
        <v>8.253242879E9</v>
      </c>
      <c r="B809" s="5">
        <v>42480.0</v>
      </c>
      <c r="C809" s="4" t="str">
        <f t="shared" si="1"/>
        <v>825324287942480</v>
      </c>
      <c r="D809" s="4">
        <v>6466.0</v>
      </c>
      <c r="E809" s="4"/>
      <c r="F809" s="13" t="str">
        <f>VLOOKUP(C809,Sleep!C:F,4,FALSE)</f>
        <v>#N/A</v>
      </c>
    </row>
    <row r="810" hidden="1">
      <c r="A810" s="4">
        <v>8.253242879E9</v>
      </c>
      <c r="B810" s="5">
        <v>42481.0</v>
      </c>
      <c r="C810" s="4" t="str">
        <f t="shared" si="1"/>
        <v>825324287942481</v>
      </c>
      <c r="D810" s="4">
        <v>11268.0</v>
      </c>
      <c r="E810" s="4"/>
      <c r="F810" s="13" t="str">
        <f>VLOOKUP(C810,Sleep!C:F,4,FALSE)</f>
        <v>#N/A</v>
      </c>
    </row>
    <row r="811" hidden="1">
      <c r="A811" s="4">
        <v>8.253242879E9</v>
      </c>
      <c r="B811" s="5">
        <v>42482.0</v>
      </c>
      <c r="C811" s="4" t="str">
        <f t="shared" si="1"/>
        <v>825324287942482</v>
      </c>
      <c r="D811" s="4">
        <v>2824.0</v>
      </c>
      <c r="E811" s="4"/>
      <c r="F811" s="13" t="str">
        <f>VLOOKUP(C811,Sleep!C:F,4,FALSE)</f>
        <v>#N/A</v>
      </c>
    </row>
    <row r="812" hidden="1">
      <c r="A812" s="4">
        <v>8.253242879E9</v>
      </c>
      <c r="B812" s="5">
        <v>42483.0</v>
      </c>
      <c r="C812" s="4" t="str">
        <f t="shared" si="1"/>
        <v>825324287942483</v>
      </c>
      <c r="D812" s="4">
        <v>9282.0</v>
      </c>
      <c r="E812" s="4"/>
      <c r="F812" s="13" t="str">
        <f>VLOOKUP(C812,Sleep!C:F,4,FALSE)</f>
        <v>#N/A</v>
      </c>
    </row>
    <row r="813" hidden="1">
      <c r="A813" s="4">
        <v>8.253242879E9</v>
      </c>
      <c r="B813" s="5">
        <v>42484.0</v>
      </c>
      <c r="C813" s="4" t="str">
        <f t="shared" si="1"/>
        <v>825324287942484</v>
      </c>
      <c r="D813" s="4">
        <v>8905.0</v>
      </c>
      <c r="E813" s="4"/>
      <c r="F813" s="13" t="str">
        <f>VLOOKUP(C813,Sleep!C:F,4,FALSE)</f>
        <v>#N/A</v>
      </c>
    </row>
    <row r="814" hidden="1">
      <c r="A814" s="4">
        <v>8.253242879E9</v>
      </c>
      <c r="B814" s="5">
        <v>42485.0</v>
      </c>
      <c r="C814" s="4" t="str">
        <f t="shared" si="1"/>
        <v>825324287942485</v>
      </c>
      <c r="D814" s="4">
        <v>6829.0</v>
      </c>
      <c r="E814" s="4"/>
      <c r="F814" s="13" t="str">
        <f>VLOOKUP(C814,Sleep!C:F,4,FALSE)</f>
        <v>#N/A</v>
      </c>
    </row>
    <row r="815" hidden="1">
      <c r="A815" s="4">
        <v>8.253242879E9</v>
      </c>
      <c r="B815" s="5">
        <v>42486.0</v>
      </c>
      <c r="C815" s="4" t="str">
        <f t="shared" si="1"/>
        <v>825324287942486</v>
      </c>
      <c r="D815" s="4">
        <v>4562.0</v>
      </c>
      <c r="E815" s="4"/>
      <c r="F815" s="13" t="str">
        <f>VLOOKUP(C815,Sleep!C:F,4,FALSE)</f>
        <v>#N/A</v>
      </c>
    </row>
    <row r="816" hidden="1">
      <c r="A816" s="4">
        <v>8.253242879E9</v>
      </c>
      <c r="B816" s="5">
        <v>42487.0</v>
      </c>
      <c r="C816" s="4" t="str">
        <f t="shared" si="1"/>
        <v>825324287942487</v>
      </c>
      <c r="D816" s="4">
        <v>10232.0</v>
      </c>
      <c r="E816" s="4"/>
      <c r="F816" s="13" t="str">
        <f>VLOOKUP(C816,Sleep!C:F,4,FALSE)</f>
        <v>#N/A</v>
      </c>
    </row>
    <row r="817" hidden="1">
      <c r="A817" s="4">
        <v>8.253242879E9</v>
      </c>
      <c r="B817" s="5">
        <v>42488.0</v>
      </c>
      <c r="C817" s="4" t="str">
        <f t="shared" si="1"/>
        <v>825324287942488</v>
      </c>
      <c r="D817" s="4">
        <v>2718.0</v>
      </c>
      <c r="E817" s="4"/>
      <c r="F817" s="13" t="str">
        <f>VLOOKUP(C817,Sleep!C:F,4,FALSE)</f>
        <v>#N/A</v>
      </c>
    </row>
    <row r="818" hidden="1">
      <c r="A818" s="4">
        <v>8.253242879E9</v>
      </c>
      <c r="B818" s="5">
        <v>42489.0</v>
      </c>
      <c r="C818" s="4" t="str">
        <f t="shared" si="1"/>
        <v>825324287942489</v>
      </c>
      <c r="D818" s="4">
        <v>6260.0</v>
      </c>
      <c r="E818" s="4"/>
      <c r="F818" s="13" t="str">
        <f>VLOOKUP(C818,Sleep!C:F,4,FALSE)</f>
        <v>#N/A</v>
      </c>
    </row>
    <row r="819" hidden="1">
      <c r="A819" s="4">
        <v>8.253242879E9</v>
      </c>
      <c r="B819" s="5">
        <v>42490.0</v>
      </c>
      <c r="C819" s="4" t="str">
        <f t="shared" si="1"/>
        <v>825324287942490</v>
      </c>
      <c r="D819" s="4">
        <v>0.0</v>
      </c>
      <c r="E819" s="4"/>
      <c r="F819" s="13" t="str">
        <f>VLOOKUP(C819,Sleep!C:F,4,FALSE)</f>
        <v>#N/A</v>
      </c>
    </row>
    <row r="820">
      <c r="A820" s="4">
        <v>8.3785632E9</v>
      </c>
      <c r="B820" s="5">
        <v>42472.0</v>
      </c>
      <c r="C820" s="4" t="str">
        <f t="shared" si="1"/>
        <v>837856320042472</v>
      </c>
      <c r="D820" s="4">
        <v>7626.0</v>
      </c>
      <c r="E820" s="13" t="str">
        <f t="shared" ref="E820:E850" si="47">IF(D820&lt;5000, "LOW",IF(D820&lt;10000,"MEDIUM","HIGH"))</f>
        <v>MEDIUM</v>
      </c>
      <c r="F820" s="16">
        <f>VLOOKUP(C820,Sleep!C:F,4,FALSE)</f>
        <v>0.2347222222</v>
      </c>
      <c r="G820" s="12">
        <f>VLOOKUP(C820,Sleep!C:I,7,FALSE)</f>
        <v>0.9494382022</v>
      </c>
    </row>
    <row r="821">
      <c r="A821" s="4">
        <v>8.3785632E9</v>
      </c>
      <c r="B821" s="5">
        <v>42473.0</v>
      </c>
      <c r="C821" s="4" t="str">
        <f t="shared" si="1"/>
        <v>837856320042473</v>
      </c>
      <c r="D821" s="4">
        <v>12386.0</v>
      </c>
      <c r="E821" s="13" t="str">
        <f t="shared" si="47"/>
        <v>HIGH</v>
      </c>
      <c r="F821" s="16">
        <f>VLOOKUP(C821,Sleep!C:F,4,FALSE)</f>
        <v>0.3104166667</v>
      </c>
      <c r="G821" s="12">
        <f>VLOOKUP(C821,Sleep!C:I,7,FALSE)</f>
        <v>0.9178644764</v>
      </c>
    </row>
    <row r="822">
      <c r="A822" s="4">
        <v>8.3785632E9</v>
      </c>
      <c r="B822" s="5">
        <v>42474.0</v>
      </c>
      <c r="C822" s="4" t="str">
        <f t="shared" si="1"/>
        <v>837856320042474</v>
      </c>
      <c r="D822" s="4">
        <v>13318.0</v>
      </c>
      <c r="E822" s="13" t="str">
        <f t="shared" si="47"/>
        <v>HIGH</v>
      </c>
      <c r="F822" s="16">
        <f>VLOOKUP(C822,Sleep!C:F,4,FALSE)</f>
        <v>0.2944444444</v>
      </c>
      <c r="G822" s="12">
        <f>VLOOKUP(C822,Sleep!C:I,7,FALSE)</f>
        <v>0.9318681319</v>
      </c>
    </row>
    <row r="823">
      <c r="A823" s="4">
        <v>8.3785632E9</v>
      </c>
      <c r="B823" s="5">
        <v>42475.0</v>
      </c>
      <c r="C823" s="4" t="str">
        <f t="shared" si="1"/>
        <v>837856320042475</v>
      </c>
      <c r="D823" s="4">
        <v>14461.0</v>
      </c>
      <c r="E823" s="13" t="str">
        <f t="shared" si="47"/>
        <v>HIGH</v>
      </c>
      <c r="F823" s="16">
        <f>VLOOKUP(C823,Sleep!C:F,4,FALSE)</f>
        <v>0.35625</v>
      </c>
      <c r="G823" s="12">
        <f>VLOOKUP(C823,Sleep!C:I,7,FALSE)</f>
        <v>0.9624765478</v>
      </c>
    </row>
    <row r="824">
      <c r="A824" s="4">
        <v>8.3785632E9</v>
      </c>
      <c r="B824" s="5">
        <v>42476.0</v>
      </c>
      <c r="C824" s="4" t="str">
        <f t="shared" si="1"/>
        <v>837856320042476</v>
      </c>
      <c r="D824" s="4">
        <v>11207.0</v>
      </c>
      <c r="E824" s="13" t="str">
        <f t="shared" si="47"/>
        <v>HIGH</v>
      </c>
      <c r="F824" s="16">
        <f>VLOOKUP(C824,Sleep!C:F,4,FALSE)</f>
        <v>0.4243055556</v>
      </c>
      <c r="G824" s="12">
        <f>VLOOKUP(C824,Sleep!C:I,7,FALSE)</f>
        <v>0.8867924528</v>
      </c>
    </row>
    <row r="825">
      <c r="A825" s="4">
        <v>8.3785632E9</v>
      </c>
      <c r="B825" s="5">
        <v>42477.0</v>
      </c>
      <c r="C825" s="4" t="str">
        <f t="shared" si="1"/>
        <v>837856320042477</v>
      </c>
      <c r="D825" s="4">
        <v>2132.0</v>
      </c>
      <c r="E825" s="13" t="str">
        <f t="shared" si="47"/>
        <v>LOW</v>
      </c>
      <c r="F825" s="16">
        <f>VLOOKUP(C825,Sleep!C:F,4,FALSE)</f>
        <v>0.3645833333</v>
      </c>
      <c r="G825" s="12">
        <f>VLOOKUP(C825,Sleep!C:I,7,FALSE)</f>
        <v>0.8883248731</v>
      </c>
    </row>
    <row r="826">
      <c r="A826" s="4">
        <v>8.3785632E9</v>
      </c>
      <c r="B826" s="5">
        <v>42478.0</v>
      </c>
      <c r="C826" s="4" t="str">
        <f t="shared" si="1"/>
        <v>837856320042478</v>
      </c>
      <c r="D826" s="4">
        <v>13630.0</v>
      </c>
      <c r="E826" s="13" t="str">
        <f t="shared" si="47"/>
        <v>HIGH</v>
      </c>
      <c r="F826" s="16">
        <f>VLOOKUP(C826,Sleep!C:F,4,FALSE)</f>
        <v>0.2763888889</v>
      </c>
      <c r="G826" s="12">
        <f>VLOOKUP(C826,Sleep!C:I,7,FALSE)</f>
        <v>0.8824833703</v>
      </c>
    </row>
    <row r="827">
      <c r="A827" s="4">
        <v>8.3785632E9</v>
      </c>
      <c r="B827" s="5">
        <v>42479.0</v>
      </c>
      <c r="C827" s="4" t="str">
        <f t="shared" si="1"/>
        <v>837856320042479</v>
      </c>
      <c r="D827" s="4">
        <v>13070.0</v>
      </c>
      <c r="E827" s="13" t="str">
        <f t="shared" si="47"/>
        <v>HIGH</v>
      </c>
      <c r="F827" s="16">
        <f>VLOOKUP(C827,Sleep!C:F,4,FALSE)</f>
        <v>0.26875</v>
      </c>
      <c r="G827" s="12">
        <f>VLOOKUP(C827,Sleep!C:I,7,FALSE)</f>
        <v>0.919239905</v>
      </c>
    </row>
    <row r="828">
      <c r="A828" s="4">
        <v>8.3785632E9</v>
      </c>
      <c r="B828" s="5">
        <v>42480.0</v>
      </c>
      <c r="C828" s="4" t="str">
        <f t="shared" si="1"/>
        <v>837856320042480</v>
      </c>
      <c r="D828" s="4">
        <v>9388.0</v>
      </c>
      <c r="E828" s="13" t="str">
        <f t="shared" si="47"/>
        <v>MEDIUM</v>
      </c>
      <c r="F828" s="16">
        <f>VLOOKUP(C828,Sleep!C:F,4,FALSE)</f>
        <v>0.2645833333</v>
      </c>
      <c r="G828" s="12">
        <f>VLOOKUP(C828,Sleep!C:I,7,FALSE)</f>
        <v>0.9315403423</v>
      </c>
    </row>
    <row r="829">
      <c r="A829" s="4">
        <v>8.3785632E9</v>
      </c>
      <c r="B829" s="5">
        <v>42481.0</v>
      </c>
      <c r="C829" s="4" t="str">
        <f t="shared" si="1"/>
        <v>837856320042481</v>
      </c>
      <c r="D829" s="4">
        <v>15148.0</v>
      </c>
      <c r="E829" s="13" t="str">
        <f t="shared" si="47"/>
        <v>HIGH</v>
      </c>
      <c r="F829" s="16">
        <f>VLOOKUP(C829,Sleep!C:F,4,FALSE)</f>
        <v>0.275</v>
      </c>
      <c r="G829" s="12">
        <f>VLOOKUP(C829,Sleep!C:I,7,FALSE)</f>
        <v>0.9496402878</v>
      </c>
    </row>
    <row r="830">
      <c r="A830" s="4">
        <v>8.3785632E9</v>
      </c>
      <c r="B830" s="5">
        <v>42482.0</v>
      </c>
      <c r="C830" s="4" t="str">
        <f t="shared" si="1"/>
        <v>837856320042482</v>
      </c>
      <c r="D830" s="4">
        <v>12200.0</v>
      </c>
      <c r="E830" s="13" t="str">
        <f t="shared" si="47"/>
        <v>HIGH</v>
      </c>
      <c r="F830" s="16">
        <f>VLOOKUP(C830,Sleep!C:F,4,FALSE)</f>
        <v>0.30625</v>
      </c>
      <c r="G830" s="12">
        <f>VLOOKUP(C830,Sleep!C:I,7,FALSE)</f>
        <v>0.9402985075</v>
      </c>
    </row>
    <row r="831">
      <c r="A831" s="4">
        <v>8.3785632E9</v>
      </c>
      <c r="B831" s="5">
        <v>42483.0</v>
      </c>
      <c r="C831" s="4" t="str">
        <f t="shared" si="1"/>
        <v>837856320042483</v>
      </c>
      <c r="D831" s="4">
        <v>5709.0</v>
      </c>
      <c r="E831" s="13" t="str">
        <f t="shared" si="47"/>
        <v>MEDIUM</v>
      </c>
      <c r="F831" s="16">
        <f>VLOOKUP(C831,Sleep!C:F,4,FALSE)</f>
        <v>0.3923611111</v>
      </c>
      <c r="G831" s="12">
        <f>VLOOKUP(C831,Sleep!C:I,7,FALSE)</f>
        <v>0.9560067682</v>
      </c>
    </row>
    <row r="832">
      <c r="A832" s="4">
        <v>8.3785632E9</v>
      </c>
      <c r="B832" s="5">
        <v>42484.0</v>
      </c>
      <c r="C832" s="4" t="str">
        <f t="shared" si="1"/>
        <v>837856320042484</v>
      </c>
      <c r="D832" s="4">
        <v>3703.0</v>
      </c>
      <c r="E832" s="13" t="str">
        <f t="shared" si="47"/>
        <v>LOW</v>
      </c>
      <c r="F832" s="16">
        <f>VLOOKUP(C832,Sleep!C:F,4,FALSE)</f>
        <v>0.3180555556</v>
      </c>
      <c r="G832" s="12">
        <f>VLOOKUP(C832,Sleep!C:I,7,FALSE)</f>
        <v>0.9308943089</v>
      </c>
    </row>
    <row r="833">
      <c r="A833" s="4">
        <v>8.3785632E9</v>
      </c>
      <c r="B833" s="5">
        <v>42485.0</v>
      </c>
      <c r="C833" s="4" t="str">
        <f t="shared" si="1"/>
        <v>837856320042485</v>
      </c>
      <c r="D833" s="4">
        <v>12405.0</v>
      </c>
      <c r="E833" s="13" t="str">
        <f t="shared" si="47"/>
        <v>HIGH</v>
      </c>
      <c r="F833" s="16">
        <f>VLOOKUP(C833,Sleep!C:F,4,FALSE)</f>
        <v>0.2694444444</v>
      </c>
      <c r="G833" s="12">
        <f>VLOOKUP(C833,Sleep!C:I,7,FALSE)</f>
        <v>0.9651741294</v>
      </c>
    </row>
    <row r="834">
      <c r="A834" s="4">
        <v>8.3785632E9</v>
      </c>
      <c r="B834" s="5">
        <v>42486.0</v>
      </c>
      <c r="C834" s="4" t="str">
        <f t="shared" si="1"/>
        <v>837856320042486</v>
      </c>
      <c r="D834" s="4">
        <v>16208.0</v>
      </c>
      <c r="E834" s="13" t="str">
        <f t="shared" si="47"/>
        <v>HIGH</v>
      </c>
      <c r="F834" s="16">
        <f>VLOOKUP(C834,Sleep!C:F,4,FALSE)</f>
        <v>0.3819444444</v>
      </c>
      <c r="G834" s="12">
        <f>VLOOKUP(C834,Sleep!C:I,7,FALSE)</f>
        <v>0.9417808219</v>
      </c>
    </row>
    <row r="835">
      <c r="A835" s="4">
        <v>8.3785632E9</v>
      </c>
      <c r="B835" s="5">
        <v>42487.0</v>
      </c>
      <c r="C835" s="4" t="str">
        <f t="shared" si="1"/>
        <v>837856320042487</v>
      </c>
      <c r="D835" s="4">
        <v>7359.0</v>
      </c>
      <c r="E835" s="13" t="str">
        <f t="shared" si="47"/>
        <v>MEDIUM</v>
      </c>
      <c r="F835" s="16">
        <f>VLOOKUP(C835,Sleep!C:F,4,FALSE)</f>
        <v>0.36875</v>
      </c>
      <c r="G835" s="12">
        <f>VLOOKUP(C835,Sleep!C:I,7,FALSE)</f>
        <v>0.885</v>
      </c>
    </row>
    <row r="836">
      <c r="A836" s="4">
        <v>8.3785632E9</v>
      </c>
      <c r="B836" s="5">
        <v>42488.0</v>
      </c>
      <c r="C836" s="4" t="str">
        <f t="shared" si="1"/>
        <v>837856320042488</v>
      </c>
      <c r="D836" s="4">
        <v>5417.0</v>
      </c>
      <c r="E836" s="13" t="str">
        <f t="shared" si="47"/>
        <v>MEDIUM</v>
      </c>
      <c r="F836" s="16">
        <f>VLOOKUP(C836,Sleep!C:F,4,FALSE)</f>
        <v>0.3513888889</v>
      </c>
      <c r="G836" s="12">
        <f>VLOOKUP(C836,Sleep!C:I,7,FALSE)</f>
        <v>0.9100719424</v>
      </c>
    </row>
    <row r="837">
      <c r="A837" s="4">
        <v>8.3785632E9</v>
      </c>
      <c r="B837" s="5">
        <v>42489.0</v>
      </c>
      <c r="C837" s="4" t="str">
        <f t="shared" si="1"/>
        <v>837856320042489</v>
      </c>
      <c r="D837" s="4">
        <v>6175.0</v>
      </c>
      <c r="E837" s="13" t="str">
        <f t="shared" si="47"/>
        <v>MEDIUM</v>
      </c>
      <c r="F837" s="16">
        <f>VLOOKUP(C837,Sleep!C:F,4,FALSE)</f>
        <v>0.3659722222</v>
      </c>
      <c r="G837" s="12">
        <f>VLOOKUP(C837,Sleep!C:I,7,FALSE)</f>
        <v>0.9377224199</v>
      </c>
    </row>
    <row r="838">
      <c r="A838" s="4">
        <v>8.3785632E9</v>
      </c>
      <c r="B838" s="5">
        <v>42490.0</v>
      </c>
      <c r="C838" s="4" t="str">
        <f t="shared" si="1"/>
        <v>837856320042490</v>
      </c>
      <c r="D838" s="4">
        <v>2946.0</v>
      </c>
      <c r="E838" s="13" t="str">
        <f t="shared" si="47"/>
        <v>LOW</v>
      </c>
      <c r="F838" s="16">
        <f>VLOOKUP(C838,Sleep!C:F,4,FALSE)</f>
        <v>0.325</v>
      </c>
      <c r="G838" s="12">
        <f>VLOOKUP(C838,Sleep!C:I,7,FALSE)</f>
        <v>0.8432432432</v>
      </c>
    </row>
    <row r="839">
      <c r="A839" s="4">
        <v>8.3785632E9</v>
      </c>
      <c r="B839" s="5">
        <v>42491.0</v>
      </c>
      <c r="C839" s="4" t="str">
        <f t="shared" si="1"/>
        <v>837856320042491</v>
      </c>
      <c r="D839" s="4">
        <v>11419.0</v>
      </c>
      <c r="E839" s="13" t="str">
        <f t="shared" si="47"/>
        <v>HIGH</v>
      </c>
      <c r="F839" s="16">
        <f>VLOOKUP(C839,Sleep!C:F,4,FALSE)</f>
        <v>0.3298611111</v>
      </c>
      <c r="G839" s="12">
        <f>VLOOKUP(C839,Sleep!C:I,7,FALSE)</f>
        <v>0.8812615955</v>
      </c>
    </row>
    <row r="840">
      <c r="A840" s="4">
        <v>8.3785632E9</v>
      </c>
      <c r="B840" s="5">
        <v>42492.0</v>
      </c>
      <c r="C840" s="4" t="str">
        <f t="shared" si="1"/>
        <v>837856320042492</v>
      </c>
      <c r="D840" s="4">
        <v>6064.0</v>
      </c>
      <c r="E840" s="13" t="str">
        <f t="shared" si="47"/>
        <v>MEDIUM</v>
      </c>
      <c r="F840" s="16">
        <f>VLOOKUP(C840,Sleep!C:F,4,FALSE)</f>
        <v>0.24375</v>
      </c>
      <c r="G840" s="12">
        <f>VLOOKUP(C840,Sleep!C:I,7,FALSE)</f>
        <v>0.9116883117</v>
      </c>
    </row>
    <row r="841">
      <c r="A841" s="4">
        <v>8.3785632E9</v>
      </c>
      <c r="B841" s="5">
        <v>42493.0</v>
      </c>
      <c r="C841" s="4" t="str">
        <f t="shared" si="1"/>
        <v>837856320042493</v>
      </c>
      <c r="D841" s="4">
        <v>8712.0</v>
      </c>
      <c r="E841" s="13" t="str">
        <f t="shared" si="47"/>
        <v>MEDIUM</v>
      </c>
      <c r="F841" s="16">
        <f>VLOOKUP(C841,Sleep!C:F,4,FALSE)</f>
        <v>0.28125</v>
      </c>
      <c r="G841" s="12">
        <f>VLOOKUP(C841,Sleep!C:I,7,FALSE)</f>
        <v>0.9440559441</v>
      </c>
    </row>
    <row r="842">
      <c r="A842" s="4">
        <v>8.3785632E9</v>
      </c>
      <c r="B842" s="5">
        <v>42494.0</v>
      </c>
      <c r="C842" s="4" t="str">
        <f t="shared" si="1"/>
        <v>837856320042494</v>
      </c>
      <c r="D842" s="4">
        <v>7875.0</v>
      </c>
      <c r="E842" s="13" t="str">
        <f t="shared" si="47"/>
        <v>MEDIUM</v>
      </c>
      <c r="F842" s="16">
        <f>VLOOKUP(C842,Sleep!C:F,4,FALSE)</f>
        <v>0.30625</v>
      </c>
      <c r="G842" s="12">
        <f>VLOOKUP(C842,Sleep!C:I,7,FALSE)</f>
        <v>0.9245283019</v>
      </c>
    </row>
    <row r="843">
      <c r="A843" s="4">
        <v>8.3785632E9</v>
      </c>
      <c r="B843" s="5">
        <v>42495.0</v>
      </c>
      <c r="C843" s="4" t="str">
        <f t="shared" si="1"/>
        <v>837856320042495</v>
      </c>
      <c r="D843" s="4">
        <v>8567.0</v>
      </c>
      <c r="E843" s="13" t="str">
        <f t="shared" si="47"/>
        <v>MEDIUM</v>
      </c>
      <c r="F843" s="16">
        <f>VLOOKUP(C843,Sleep!C:F,4,FALSE)</f>
        <v>0.2645833333</v>
      </c>
      <c r="G843" s="12">
        <f>VLOOKUP(C843,Sleep!C:I,7,FALSE)</f>
        <v>0.9136690647</v>
      </c>
    </row>
    <row r="844">
      <c r="A844" s="4">
        <v>8.3785632E9</v>
      </c>
      <c r="B844" s="5">
        <v>42496.0</v>
      </c>
      <c r="C844" s="4" t="str">
        <f t="shared" si="1"/>
        <v>837856320042496</v>
      </c>
      <c r="D844" s="4">
        <v>7045.0</v>
      </c>
      <c r="E844" s="13" t="str">
        <f t="shared" si="47"/>
        <v>MEDIUM</v>
      </c>
      <c r="F844" s="16">
        <f>VLOOKUP(C844,Sleep!C:F,4,FALSE)</f>
        <v>0.2243055556</v>
      </c>
      <c r="G844" s="12">
        <f>VLOOKUP(C844,Sleep!C:I,7,FALSE)</f>
        <v>0.9098591549</v>
      </c>
    </row>
    <row r="845">
      <c r="A845" s="4">
        <v>8.3785632E9</v>
      </c>
      <c r="B845" s="5">
        <v>42497.0</v>
      </c>
      <c r="C845" s="4" t="str">
        <f t="shared" si="1"/>
        <v>837856320042497</v>
      </c>
      <c r="D845" s="4">
        <v>4468.0</v>
      </c>
      <c r="E845" s="13" t="str">
        <f t="shared" si="47"/>
        <v>LOW</v>
      </c>
      <c r="F845" s="16">
        <f>VLOOKUP(C845,Sleep!C:F,4,FALSE)</f>
        <v>0.31875</v>
      </c>
      <c r="G845" s="12">
        <f>VLOOKUP(C845,Sleep!C:I,7,FALSE)</f>
        <v>0.8947368421</v>
      </c>
    </row>
    <row r="846">
      <c r="A846" s="4">
        <v>8.3785632E9</v>
      </c>
      <c r="B846" s="5">
        <v>42498.0</v>
      </c>
      <c r="C846" s="4" t="str">
        <f t="shared" si="1"/>
        <v>837856320042498</v>
      </c>
      <c r="D846" s="4">
        <v>2943.0</v>
      </c>
      <c r="E846" s="13" t="str">
        <f t="shared" si="47"/>
        <v>LOW</v>
      </c>
      <c r="F846" s="16">
        <f>VLOOKUP(C846,Sleep!C:F,4,FALSE)</f>
        <v>0.3784722222</v>
      </c>
      <c r="G846" s="12">
        <f>VLOOKUP(C846,Sleep!C:I,7,FALSE)</f>
        <v>0.899339934</v>
      </c>
    </row>
    <row r="847">
      <c r="A847" s="4">
        <v>8.3785632E9</v>
      </c>
      <c r="B847" s="5">
        <v>42499.0</v>
      </c>
      <c r="C847" s="4" t="str">
        <f t="shared" si="1"/>
        <v>837856320042499</v>
      </c>
      <c r="D847" s="4">
        <v>8382.0</v>
      </c>
      <c r="E847" s="13" t="str">
        <f t="shared" si="47"/>
        <v>MEDIUM</v>
      </c>
      <c r="F847" s="16">
        <f>VLOOKUP(C847,Sleep!C:F,4,FALSE)</f>
        <v>0.2493055556</v>
      </c>
      <c r="G847" s="12">
        <f>VLOOKUP(C847,Sleep!C:I,7,FALSE)</f>
        <v>0.8997493734</v>
      </c>
    </row>
    <row r="848">
      <c r="A848" s="4">
        <v>8.3785632E9</v>
      </c>
      <c r="B848" s="5">
        <v>42500.0</v>
      </c>
      <c r="C848" s="4" t="str">
        <f t="shared" si="1"/>
        <v>837856320042500</v>
      </c>
      <c r="D848" s="4">
        <v>6582.0</v>
      </c>
      <c r="E848" s="13" t="str">
        <f t="shared" si="47"/>
        <v>MEDIUM</v>
      </c>
      <c r="F848" s="16">
        <f>VLOOKUP(C848,Sleep!C:F,4,FALSE)</f>
        <v>0.2375</v>
      </c>
      <c r="G848" s="12">
        <f>VLOOKUP(C848,Sleep!C:I,7,FALSE)</f>
        <v>0.8746803069</v>
      </c>
    </row>
    <row r="849">
      <c r="A849" s="4">
        <v>8.3785632E9</v>
      </c>
      <c r="B849" s="5">
        <v>42501.0</v>
      </c>
      <c r="C849" s="4" t="str">
        <f t="shared" si="1"/>
        <v>837856320042501</v>
      </c>
      <c r="D849" s="4">
        <v>9143.0</v>
      </c>
      <c r="E849" s="13" t="str">
        <f t="shared" si="47"/>
        <v>MEDIUM</v>
      </c>
      <c r="F849" s="16">
        <f>VLOOKUP(C849,Sleep!C:F,4,FALSE)</f>
        <v>0.2555555556</v>
      </c>
      <c r="G849" s="12">
        <f>VLOOKUP(C849,Sleep!C:I,7,FALSE)</f>
        <v>0.9509043928</v>
      </c>
    </row>
    <row r="850">
      <c r="A850" s="4">
        <v>8.3785632E9</v>
      </c>
      <c r="B850" s="5">
        <v>42502.0</v>
      </c>
      <c r="C850" s="4" t="str">
        <f t="shared" si="1"/>
        <v>837856320042502</v>
      </c>
      <c r="D850" s="4">
        <v>4561.0</v>
      </c>
      <c r="E850" s="13" t="str">
        <f t="shared" si="47"/>
        <v>LOW</v>
      </c>
      <c r="F850" s="16">
        <f>VLOOKUP(C850,Sleep!C:F,4,FALSE)</f>
        <v>0.3444444444</v>
      </c>
      <c r="G850" s="12">
        <f>VLOOKUP(C850,Sleep!C:I,7,FALSE)</f>
        <v>0.9084249084</v>
      </c>
    </row>
    <row r="851" hidden="1">
      <c r="A851" s="4">
        <v>8.583815059E9</v>
      </c>
      <c r="B851" s="5">
        <v>42472.0</v>
      </c>
      <c r="C851" s="4" t="str">
        <f t="shared" si="1"/>
        <v>858381505942472</v>
      </c>
      <c r="D851" s="4">
        <v>5014.0</v>
      </c>
      <c r="E851" s="4"/>
      <c r="F851" s="13" t="str">
        <f>VLOOKUP(C851,Sleep!C:F,4,FALSE)</f>
        <v>#N/A</v>
      </c>
    </row>
    <row r="852" hidden="1">
      <c r="A852" s="4">
        <v>8.583815059E9</v>
      </c>
      <c r="B852" s="5">
        <v>42473.0</v>
      </c>
      <c r="C852" s="4" t="str">
        <f t="shared" si="1"/>
        <v>858381505942473</v>
      </c>
      <c r="D852" s="4">
        <v>5571.0</v>
      </c>
      <c r="E852" s="4"/>
      <c r="F852" s="13" t="str">
        <f>VLOOKUP(C852,Sleep!C:F,4,FALSE)</f>
        <v>#N/A</v>
      </c>
    </row>
    <row r="853" hidden="1">
      <c r="A853" s="4">
        <v>8.583815059E9</v>
      </c>
      <c r="B853" s="5">
        <v>42474.0</v>
      </c>
      <c r="C853" s="4" t="str">
        <f t="shared" si="1"/>
        <v>858381505942474</v>
      </c>
      <c r="D853" s="4">
        <v>3135.0</v>
      </c>
      <c r="E853" s="4"/>
      <c r="F853" s="13" t="str">
        <f>VLOOKUP(C853,Sleep!C:F,4,FALSE)</f>
        <v>#N/A</v>
      </c>
    </row>
    <row r="854" hidden="1">
      <c r="A854" s="4">
        <v>8.583815059E9</v>
      </c>
      <c r="B854" s="5">
        <v>42475.0</v>
      </c>
      <c r="C854" s="4" t="str">
        <f t="shared" si="1"/>
        <v>858381505942475</v>
      </c>
      <c r="D854" s="4">
        <v>3430.0</v>
      </c>
      <c r="E854" s="4"/>
      <c r="F854" s="13" t="str">
        <f>VLOOKUP(C854,Sleep!C:F,4,FALSE)</f>
        <v>#N/A</v>
      </c>
    </row>
    <row r="855" hidden="1">
      <c r="A855" s="4">
        <v>8.583815059E9</v>
      </c>
      <c r="B855" s="5">
        <v>42476.0</v>
      </c>
      <c r="C855" s="4" t="str">
        <f t="shared" si="1"/>
        <v>858381505942476</v>
      </c>
      <c r="D855" s="4">
        <v>5319.0</v>
      </c>
      <c r="E855" s="4"/>
      <c r="F855" s="13" t="str">
        <f>VLOOKUP(C855,Sleep!C:F,4,FALSE)</f>
        <v>#N/A</v>
      </c>
    </row>
    <row r="856" hidden="1">
      <c r="A856" s="4">
        <v>8.583815059E9</v>
      </c>
      <c r="B856" s="5">
        <v>42477.0</v>
      </c>
      <c r="C856" s="4" t="str">
        <f t="shared" si="1"/>
        <v>858381505942477</v>
      </c>
      <c r="D856" s="4">
        <v>3008.0</v>
      </c>
      <c r="E856" s="4"/>
      <c r="F856" s="13" t="str">
        <f>VLOOKUP(C856,Sleep!C:F,4,FALSE)</f>
        <v>#N/A</v>
      </c>
    </row>
    <row r="857" hidden="1">
      <c r="A857" s="4">
        <v>8.583815059E9</v>
      </c>
      <c r="B857" s="5">
        <v>42478.0</v>
      </c>
      <c r="C857" s="4" t="str">
        <f t="shared" si="1"/>
        <v>858381505942478</v>
      </c>
      <c r="D857" s="4">
        <v>3864.0</v>
      </c>
      <c r="E857" s="4"/>
      <c r="F857" s="13" t="str">
        <f>VLOOKUP(C857,Sleep!C:F,4,FALSE)</f>
        <v>#N/A</v>
      </c>
    </row>
    <row r="858" hidden="1">
      <c r="A858" s="4">
        <v>8.583815059E9</v>
      </c>
      <c r="B858" s="5">
        <v>42479.0</v>
      </c>
      <c r="C858" s="4" t="str">
        <f t="shared" si="1"/>
        <v>858381505942479</v>
      </c>
      <c r="D858" s="4">
        <v>5697.0</v>
      </c>
      <c r="E858" s="4"/>
      <c r="F858" s="13" t="str">
        <f>VLOOKUP(C858,Sleep!C:F,4,FALSE)</f>
        <v>#N/A</v>
      </c>
    </row>
    <row r="859" hidden="1">
      <c r="A859" s="4">
        <v>8.583815059E9</v>
      </c>
      <c r="B859" s="5">
        <v>42480.0</v>
      </c>
      <c r="C859" s="4" t="str">
        <f t="shared" si="1"/>
        <v>858381505942480</v>
      </c>
      <c r="D859" s="4">
        <v>5273.0</v>
      </c>
      <c r="E859" s="4"/>
      <c r="F859" s="13" t="str">
        <f>VLOOKUP(C859,Sleep!C:F,4,FALSE)</f>
        <v>#N/A</v>
      </c>
    </row>
    <row r="860" hidden="1">
      <c r="A860" s="4">
        <v>8.583815059E9</v>
      </c>
      <c r="B860" s="5">
        <v>42481.0</v>
      </c>
      <c r="C860" s="4" t="str">
        <f t="shared" si="1"/>
        <v>858381505942481</v>
      </c>
      <c r="D860" s="4">
        <v>8538.0</v>
      </c>
      <c r="E860" s="4"/>
      <c r="F860" s="13" t="str">
        <f>VLOOKUP(C860,Sleep!C:F,4,FALSE)</f>
        <v>#N/A</v>
      </c>
    </row>
    <row r="861" hidden="1">
      <c r="A861" s="4">
        <v>8.583815059E9</v>
      </c>
      <c r="B861" s="5">
        <v>42482.0</v>
      </c>
      <c r="C861" s="4" t="str">
        <f t="shared" si="1"/>
        <v>858381505942482</v>
      </c>
      <c r="D861" s="4">
        <v>8687.0</v>
      </c>
      <c r="E861" s="4"/>
      <c r="F861" s="13" t="str">
        <f>VLOOKUP(C861,Sleep!C:F,4,FALSE)</f>
        <v>#N/A</v>
      </c>
    </row>
    <row r="862" hidden="1">
      <c r="A862" s="4">
        <v>8.583815059E9</v>
      </c>
      <c r="B862" s="5">
        <v>42483.0</v>
      </c>
      <c r="C862" s="4" t="str">
        <f t="shared" si="1"/>
        <v>858381505942483</v>
      </c>
      <c r="D862" s="4">
        <v>9423.0</v>
      </c>
      <c r="E862" s="4"/>
      <c r="F862" s="13" t="str">
        <f>VLOOKUP(C862,Sleep!C:F,4,FALSE)</f>
        <v>#N/A</v>
      </c>
    </row>
    <row r="863" hidden="1">
      <c r="A863" s="4">
        <v>8.583815059E9</v>
      </c>
      <c r="B863" s="5">
        <v>42484.0</v>
      </c>
      <c r="C863" s="4" t="str">
        <f t="shared" si="1"/>
        <v>858381505942484</v>
      </c>
      <c r="D863" s="4">
        <v>8286.0</v>
      </c>
      <c r="E863" s="4"/>
      <c r="F863" s="13" t="str">
        <f>VLOOKUP(C863,Sleep!C:F,4,FALSE)</f>
        <v>#N/A</v>
      </c>
    </row>
    <row r="864" hidden="1">
      <c r="A864" s="4">
        <v>8.583815059E9</v>
      </c>
      <c r="B864" s="5">
        <v>42485.0</v>
      </c>
      <c r="C864" s="4" t="str">
        <f t="shared" si="1"/>
        <v>858381505942485</v>
      </c>
      <c r="D864" s="4">
        <v>4503.0</v>
      </c>
      <c r="E864" s="4"/>
      <c r="F864" s="13" t="str">
        <f>VLOOKUP(C864,Sleep!C:F,4,FALSE)</f>
        <v>#N/A</v>
      </c>
    </row>
    <row r="865" hidden="1">
      <c r="A865" s="4">
        <v>8.583815059E9</v>
      </c>
      <c r="B865" s="5">
        <v>42486.0</v>
      </c>
      <c r="C865" s="4" t="str">
        <f t="shared" si="1"/>
        <v>858381505942486</v>
      </c>
      <c r="D865" s="4">
        <v>10499.0</v>
      </c>
      <c r="E865" s="4"/>
      <c r="F865" s="13" t="str">
        <f>VLOOKUP(C865,Sleep!C:F,4,FALSE)</f>
        <v>#N/A</v>
      </c>
    </row>
    <row r="866" hidden="1">
      <c r="A866" s="4">
        <v>8.583815059E9</v>
      </c>
      <c r="B866" s="5">
        <v>42487.0</v>
      </c>
      <c r="C866" s="4" t="str">
        <f t="shared" si="1"/>
        <v>858381505942487</v>
      </c>
      <c r="D866" s="4">
        <v>12474.0</v>
      </c>
      <c r="E866" s="4"/>
      <c r="F866" s="13" t="str">
        <f>VLOOKUP(C866,Sleep!C:F,4,FALSE)</f>
        <v>#N/A</v>
      </c>
    </row>
    <row r="867" hidden="1">
      <c r="A867" s="4">
        <v>8.583815059E9</v>
      </c>
      <c r="B867" s="5">
        <v>42488.0</v>
      </c>
      <c r="C867" s="4" t="str">
        <f t="shared" si="1"/>
        <v>858381505942488</v>
      </c>
      <c r="D867" s="4">
        <v>6174.0</v>
      </c>
      <c r="E867" s="4"/>
      <c r="F867" s="13" t="str">
        <f>VLOOKUP(C867,Sleep!C:F,4,FALSE)</f>
        <v>#N/A</v>
      </c>
    </row>
    <row r="868" hidden="1">
      <c r="A868" s="4">
        <v>8.583815059E9</v>
      </c>
      <c r="B868" s="5">
        <v>42489.0</v>
      </c>
      <c r="C868" s="4" t="str">
        <f t="shared" si="1"/>
        <v>858381505942489</v>
      </c>
      <c r="D868" s="4">
        <v>15168.0</v>
      </c>
      <c r="E868" s="4"/>
      <c r="F868" s="13" t="str">
        <f>VLOOKUP(C868,Sleep!C:F,4,FALSE)</f>
        <v>#N/A</v>
      </c>
    </row>
    <row r="869" hidden="1">
      <c r="A869" s="4">
        <v>8.583815059E9</v>
      </c>
      <c r="B869" s="5">
        <v>42490.0</v>
      </c>
      <c r="C869" s="4" t="str">
        <f t="shared" si="1"/>
        <v>858381505942490</v>
      </c>
      <c r="D869" s="4">
        <v>10085.0</v>
      </c>
      <c r="E869" s="4"/>
      <c r="F869" s="13" t="str">
        <f>VLOOKUP(C869,Sleep!C:F,4,FALSE)</f>
        <v>#N/A</v>
      </c>
    </row>
    <row r="870" hidden="1">
      <c r="A870" s="4">
        <v>8.583815059E9</v>
      </c>
      <c r="B870" s="5">
        <v>42491.0</v>
      </c>
      <c r="C870" s="4" t="str">
        <f t="shared" si="1"/>
        <v>858381505942491</v>
      </c>
      <c r="D870" s="4">
        <v>4512.0</v>
      </c>
      <c r="E870" s="4"/>
      <c r="F870" s="13" t="str">
        <f>VLOOKUP(C870,Sleep!C:F,4,FALSE)</f>
        <v>#N/A</v>
      </c>
    </row>
    <row r="871" hidden="1">
      <c r="A871" s="4">
        <v>8.583815059E9</v>
      </c>
      <c r="B871" s="5">
        <v>42492.0</v>
      </c>
      <c r="C871" s="4" t="str">
        <f t="shared" si="1"/>
        <v>858381505942492</v>
      </c>
      <c r="D871" s="4">
        <v>8469.0</v>
      </c>
      <c r="E871" s="4"/>
      <c r="F871" s="13" t="str">
        <f>VLOOKUP(C871,Sleep!C:F,4,FALSE)</f>
        <v>#N/A</v>
      </c>
    </row>
    <row r="872" hidden="1">
      <c r="A872" s="4">
        <v>8.583815059E9</v>
      </c>
      <c r="B872" s="5">
        <v>42493.0</v>
      </c>
      <c r="C872" s="4" t="str">
        <f t="shared" si="1"/>
        <v>858381505942493</v>
      </c>
      <c r="D872" s="4">
        <v>12015.0</v>
      </c>
      <c r="E872" s="4"/>
      <c r="F872" s="13" t="str">
        <f>VLOOKUP(C872,Sleep!C:F,4,FALSE)</f>
        <v>#N/A</v>
      </c>
    </row>
    <row r="873" hidden="1">
      <c r="A873" s="4">
        <v>8.583815059E9</v>
      </c>
      <c r="B873" s="5">
        <v>42494.0</v>
      </c>
      <c r="C873" s="4" t="str">
        <f t="shared" si="1"/>
        <v>858381505942494</v>
      </c>
      <c r="D873" s="4">
        <v>3588.0</v>
      </c>
      <c r="E873" s="4"/>
      <c r="F873" s="13" t="str">
        <f>VLOOKUP(C873,Sleep!C:F,4,FALSE)</f>
        <v>#N/A</v>
      </c>
    </row>
    <row r="874" hidden="1">
      <c r="A874" s="4">
        <v>8.583815059E9</v>
      </c>
      <c r="B874" s="5">
        <v>42495.0</v>
      </c>
      <c r="C874" s="4" t="str">
        <f t="shared" si="1"/>
        <v>858381505942495</v>
      </c>
      <c r="D874" s="4">
        <v>12427.0</v>
      </c>
      <c r="E874" s="4"/>
      <c r="F874" s="13" t="str">
        <f>VLOOKUP(C874,Sleep!C:F,4,FALSE)</f>
        <v>#N/A</v>
      </c>
    </row>
    <row r="875" hidden="1">
      <c r="A875" s="4">
        <v>8.583815059E9</v>
      </c>
      <c r="B875" s="5">
        <v>42496.0</v>
      </c>
      <c r="C875" s="4" t="str">
        <f t="shared" si="1"/>
        <v>858381505942496</v>
      </c>
      <c r="D875" s="4">
        <v>5843.0</v>
      </c>
      <c r="E875" s="4"/>
      <c r="F875" s="13" t="str">
        <f>VLOOKUP(C875,Sleep!C:F,4,FALSE)</f>
        <v>#N/A</v>
      </c>
    </row>
    <row r="876" hidden="1">
      <c r="A876" s="4">
        <v>8.583815059E9</v>
      </c>
      <c r="B876" s="5">
        <v>42497.0</v>
      </c>
      <c r="C876" s="4" t="str">
        <f t="shared" si="1"/>
        <v>858381505942497</v>
      </c>
      <c r="D876" s="4">
        <v>6117.0</v>
      </c>
      <c r="E876" s="4"/>
      <c r="F876" s="13" t="str">
        <f>VLOOKUP(C876,Sleep!C:F,4,FALSE)</f>
        <v>#N/A</v>
      </c>
    </row>
    <row r="877" hidden="1">
      <c r="A877" s="4">
        <v>8.583815059E9</v>
      </c>
      <c r="B877" s="5">
        <v>42498.0</v>
      </c>
      <c r="C877" s="4" t="str">
        <f t="shared" si="1"/>
        <v>858381505942498</v>
      </c>
      <c r="D877" s="4">
        <v>9217.0</v>
      </c>
      <c r="E877" s="4"/>
      <c r="F877" s="13" t="str">
        <f>VLOOKUP(C877,Sleep!C:F,4,FALSE)</f>
        <v>#N/A</v>
      </c>
    </row>
    <row r="878" hidden="1">
      <c r="A878" s="4">
        <v>8.583815059E9</v>
      </c>
      <c r="B878" s="5">
        <v>42499.0</v>
      </c>
      <c r="C878" s="4" t="str">
        <f t="shared" si="1"/>
        <v>858381505942499</v>
      </c>
      <c r="D878" s="4">
        <v>9877.0</v>
      </c>
      <c r="E878" s="4"/>
      <c r="F878" s="13" t="str">
        <f>VLOOKUP(C878,Sleep!C:F,4,FALSE)</f>
        <v>#N/A</v>
      </c>
    </row>
    <row r="879" hidden="1">
      <c r="A879" s="4">
        <v>8.583815059E9</v>
      </c>
      <c r="B879" s="5">
        <v>42500.0</v>
      </c>
      <c r="C879" s="4" t="str">
        <f t="shared" si="1"/>
        <v>858381505942500</v>
      </c>
      <c r="D879" s="4">
        <v>8240.0</v>
      </c>
      <c r="E879" s="4"/>
      <c r="F879" s="13" t="str">
        <f>VLOOKUP(C879,Sleep!C:F,4,FALSE)</f>
        <v>#N/A</v>
      </c>
    </row>
    <row r="880" hidden="1">
      <c r="A880" s="4">
        <v>8.583815059E9</v>
      </c>
      <c r="B880" s="5">
        <v>42501.0</v>
      </c>
      <c r="C880" s="4" t="str">
        <f t="shared" si="1"/>
        <v>858381505942501</v>
      </c>
      <c r="D880" s="4">
        <v>8701.0</v>
      </c>
      <c r="E880" s="4"/>
      <c r="F880" s="13" t="str">
        <f>VLOOKUP(C880,Sleep!C:F,4,FALSE)</f>
        <v>#N/A</v>
      </c>
    </row>
    <row r="881" hidden="1">
      <c r="A881" s="4">
        <v>8.583815059E9</v>
      </c>
      <c r="B881" s="5">
        <v>42502.0</v>
      </c>
      <c r="C881" s="4" t="str">
        <f t="shared" si="1"/>
        <v>858381505942502</v>
      </c>
      <c r="D881" s="4">
        <v>0.0</v>
      </c>
      <c r="E881" s="4"/>
      <c r="F881" s="13" t="str">
        <f>VLOOKUP(C881,Sleep!C:F,4,FALSE)</f>
        <v>#N/A</v>
      </c>
    </row>
    <row r="882">
      <c r="A882" s="4">
        <v>8.792009665E9</v>
      </c>
      <c r="B882" s="5">
        <v>42472.0</v>
      </c>
      <c r="C882" s="4" t="str">
        <f t="shared" si="1"/>
        <v>879200966542472</v>
      </c>
      <c r="D882" s="4">
        <v>2564.0</v>
      </c>
      <c r="E882" s="13" t="str">
        <f t="shared" ref="E882:E885" si="48">IF(D882&lt;5000, "LOW",IF(D882&lt;10000,"MEDIUM","HIGH"))</f>
        <v>LOW</v>
      </c>
      <c r="F882" s="16">
        <f>VLOOKUP(C882,Sleep!C:F,4,FALSE)</f>
        <v>0.3180555556</v>
      </c>
      <c r="G882" s="12">
        <f>VLOOKUP(C882,Sleep!C:I,7,FALSE)</f>
        <v>0.9290060852</v>
      </c>
    </row>
    <row r="883">
      <c r="A883" s="4">
        <v>8.792009665E9</v>
      </c>
      <c r="B883" s="5">
        <v>42473.0</v>
      </c>
      <c r="C883" s="4" t="str">
        <f t="shared" si="1"/>
        <v>879200966542473</v>
      </c>
      <c r="D883" s="4">
        <v>1320.0</v>
      </c>
      <c r="E883" s="13" t="str">
        <f t="shared" si="48"/>
        <v>LOW</v>
      </c>
      <c r="F883" s="16">
        <f>VLOOKUP(C883,Sleep!C:F,4,FALSE)</f>
        <v>0.36875</v>
      </c>
      <c r="G883" s="12">
        <f>VLOOKUP(C883,Sleep!C:I,7,FALSE)</f>
        <v>0.9619565217</v>
      </c>
    </row>
    <row r="884">
      <c r="A884" s="4">
        <v>8.792009665E9</v>
      </c>
      <c r="B884" s="5">
        <v>42474.0</v>
      </c>
      <c r="C884" s="4" t="str">
        <f t="shared" si="1"/>
        <v>879200966542474</v>
      </c>
      <c r="D884" s="4">
        <v>1219.0</v>
      </c>
      <c r="E884" s="13" t="str">
        <f t="shared" si="48"/>
        <v>LOW</v>
      </c>
      <c r="F884" s="16">
        <f>VLOOKUP(C884,Sleep!C:F,4,FALSE)</f>
        <v>0.3375</v>
      </c>
      <c r="G884" s="12">
        <f>VLOOKUP(C884,Sleep!C:I,7,FALSE)</f>
        <v>0.9662027833</v>
      </c>
    </row>
    <row r="885">
      <c r="A885" s="4">
        <v>8.792009665E9</v>
      </c>
      <c r="B885" s="5">
        <v>42475.0</v>
      </c>
      <c r="C885" s="4" t="str">
        <f t="shared" si="1"/>
        <v>879200966542475</v>
      </c>
      <c r="D885" s="4">
        <v>2483.0</v>
      </c>
      <c r="E885" s="13" t="str">
        <f t="shared" si="48"/>
        <v>LOW</v>
      </c>
      <c r="F885" s="16">
        <f>VLOOKUP(C885,Sleep!C:F,4,FALSE)</f>
        <v>0.2520833333</v>
      </c>
      <c r="G885" s="12">
        <f>VLOOKUP(C885,Sleep!C:I,7,FALSE)</f>
        <v>0.9628647215</v>
      </c>
    </row>
    <row r="886" hidden="1">
      <c r="A886" s="4">
        <v>8.792009665E9</v>
      </c>
      <c r="B886" s="5">
        <v>42476.0</v>
      </c>
      <c r="C886" s="4" t="str">
        <f t="shared" si="1"/>
        <v>879200966542476</v>
      </c>
      <c r="D886" s="4">
        <v>244.0</v>
      </c>
      <c r="E886" s="4"/>
      <c r="F886" s="13" t="str">
        <f>VLOOKUP(C886,Sleep!C:F,4,FALSE)</f>
        <v>#N/A</v>
      </c>
    </row>
    <row r="887" hidden="1">
      <c r="A887" s="4">
        <v>8.792009665E9</v>
      </c>
      <c r="B887" s="5">
        <v>42477.0</v>
      </c>
      <c r="C887" s="4" t="str">
        <f t="shared" si="1"/>
        <v>879200966542477</v>
      </c>
      <c r="D887" s="4">
        <v>0.0</v>
      </c>
      <c r="E887" s="4"/>
      <c r="F887" s="13" t="str">
        <f>VLOOKUP(C887,Sleep!C:F,4,FALSE)</f>
        <v>#N/A</v>
      </c>
    </row>
    <row r="888" hidden="1">
      <c r="A888" s="4">
        <v>8.792009665E9</v>
      </c>
      <c r="B888" s="5">
        <v>42478.0</v>
      </c>
      <c r="C888" s="4" t="str">
        <f t="shared" si="1"/>
        <v>879200966542478</v>
      </c>
      <c r="D888" s="4">
        <v>0.0</v>
      </c>
      <c r="E888" s="4"/>
      <c r="F888" s="13" t="str">
        <f>VLOOKUP(C888,Sleep!C:F,4,FALSE)</f>
        <v>#N/A</v>
      </c>
    </row>
    <row r="889" hidden="1">
      <c r="A889" s="4">
        <v>8.792009665E9</v>
      </c>
      <c r="B889" s="5">
        <v>42479.0</v>
      </c>
      <c r="C889" s="4" t="str">
        <f t="shared" si="1"/>
        <v>879200966542479</v>
      </c>
      <c r="D889" s="4">
        <v>0.0</v>
      </c>
      <c r="E889" s="4"/>
      <c r="F889" s="13" t="str">
        <f>VLOOKUP(C889,Sleep!C:F,4,FALSE)</f>
        <v>#N/A</v>
      </c>
    </row>
    <row r="890">
      <c r="A890" s="4">
        <v>8.792009665E9</v>
      </c>
      <c r="B890" s="5">
        <v>42480.0</v>
      </c>
      <c r="C890" s="4" t="str">
        <f t="shared" si="1"/>
        <v>879200966542480</v>
      </c>
      <c r="D890" s="4">
        <v>3147.0</v>
      </c>
      <c r="E890" s="13" t="str">
        <f>IF(D890&lt;5000, "LOW",IF(D890&lt;10000,"MEDIUM","HIGH"))</f>
        <v>LOW</v>
      </c>
      <c r="F890" s="16">
        <f>VLOOKUP(C890,Sleep!C:F,4,FALSE)</f>
        <v>0.3666666667</v>
      </c>
      <c r="G890" s="12">
        <f>VLOOKUP(C890,Sleep!C:I,7,FALSE)</f>
        <v>0.9652650823</v>
      </c>
    </row>
    <row r="891" hidden="1">
      <c r="A891" s="4">
        <v>8.792009665E9</v>
      </c>
      <c r="B891" s="5">
        <v>42481.0</v>
      </c>
      <c r="C891" s="4" t="str">
        <f t="shared" si="1"/>
        <v>879200966542481</v>
      </c>
      <c r="D891" s="4">
        <v>144.0</v>
      </c>
      <c r="E891" s="4"/>
      <c r="F891" s="13" t="str">
        <f>VLOOKUP(C891,Sleep!C:F,4,FALSE)</f>
        <v>#N/A</v>
      </c>
    </row>
    <row r="892">
      <c r="A892" s="4">
        <v>8.792009665E9</v>
      </c>
      <c r="B892" s="5">
        <v>42482.0</v>
      </c>
      <c r="C892" s="4" t="str">
        <f t="shared" si="1"/>
        <v>879200966542482</v>
      </c>
      <c r="D892" s="4">
        <v>4068.0</v>
      </c>
      <c r="E892" s="13" t="str">
        <f t="shared" ref="E892:E893" si="49">IF(D892&lt;5000, "LOW",IF(D892&lt;10000,"MEDIUM","HIGH"))</f>
        <v>LOW</v>
      </c>
      <c r="F892" s="16">
        <f>VLOOKUP(C892,Sleep!C:F,4,FALSE)</f>
        <v>0.2715277778</v>
      </c>
      <c r="G892" s="12">
        <f>VLOOKUP(C892,Sleep!C:I,7,FALSE)</f>
        <v>0.9606879607</v>
      </c>
    </row>
    <row r="893">
      <c r="A893" s="4">
        <v>8.792009665E9</v>
      </c>
      <c r="B893" s="5">
        <v>42483.0</v>
      </c>
      <c r="C893" s="4" t="str">
        <f t="shared" si="1"/>
        <v>879200966542483</v>
      </c>
      <c r="D893" s="4">
        <v>5245.0</v>
      </c>
      <c r="E893" s="13" t="str">
        <f t="shared" si="49"/>
        <v>MEDIUM</v>
      </c>
      <c r="F893" s="16">
        <f>VLOOKUP(C893,Sleep!C:F,4,FALSE)</f>
        <v>0.2354166667</v>
      </c>
      <c r="G893" s="12">
        <f>VLOOKUP(C893,Sleep!C:I,7,FALSE)</f>
        <v>0.9416666667</v>
      </c>
    </row>
    <row r="894" hidden="1">
      <c r="A894" s="4">
        <v>8.792009665E9</v>
      </c>
      <c r="B894" s="5">
        <v>42484.0</v>
      </c>
      <c r="C894" s="4" t="str">
        <f t="shared" si="1"/>
        <v>879200966542484</v>
      </c>
      <c r="D894" s="4">
        <v>400.0</v>
      </c>
      <c r="E894" s="4"/>
      <c r="F894" s="13" t="str">
        <f>VLOOKUP(C894,Sleep!C:F,4,FALSE)</f>
        <v>#N/A</v>
      </c>
    </row>
    <row r="895" hidden="1">
      <c r="A895" s="4">
        <v>8.792009665E9</v>
      </c>
      <c r="B895" s="5">
        <v>42485.0</v>
      </c>
      <c r="C895" s="4" t="str">
        <f t="shared" si="1"/>
        <v>879200966542485</v>
      </c>
      <c r="D895" s="4">
        <v>0.0</v>
      </c>
      <c r="E895" s="4"/>
      <c r="F895" s="13" t="str">
        <f>VLOOKUP(C895,Sleep!C:F,4,FALSE)</f>
        <v>#N/A</v>
      </c>
    </row>
    <row r="896" hidden="1">
      <c r="A896" s="4">
        <v>8.792009665E9</v>
      </c>
      <c r="B896" s="5">
        <v>42486.0</v>
      </c>
      <c r="C896" s="4" t="str">
        <f t="shared" si="1"/>
        <v>879200966542486</v>
      </c>
      <c r="D896" s="4">
        <v>1321.0</v>
      </c>
      <c r="E896" s="4"/>
      <c r="F896" s="13" t="str">
        <f>VLOOKUP(C896,Sleep!C:F,4,FALSE)</f>
        <v>#N/A</v>
      </c>
    </row>
    <row r="897">
      <c r="A897" s="4">
        <v>8.792009665E9</v>
      </c>
      <c r="B897" s="5">
        <v>42487.0</v>
      </c>
      <c r="C897" s="4" t="str">
        <f t="shared" si="1"/>
        <v>879200966542487</v>
      </c>
      <c r="D897" s="4">
        <v>1758.0</v>
      </c>
      <c r="E897" s="13" t="str">
        <f t="shared" ref="E897:E904" si="50">IF(D897&lt;5000, "LOW",IF(D897&lt;10000,"MEDIUM","HIGH"))</f>
        <v>LOW</v>
      </c>
      <c r="F897" s="16">
        <f>VLOOKUP(C897,Sleep!C:F,4,FALSE)</f>
        <v>0.29375</v>
      </c>
      <c r="G897" s="12">
        <f>VLOOKUP(C897,Sleep!C:I,7,FALSE)</f>
        <v>0.988317757</v>
      </c>
    </row>
    <row r="898">
      <c r="A898" s="4">
        <v>8.792009665E9</v>
      </c>
      <c r="B898" s="5">
        <v>42488.0</v>
      </c>
      <c r="C898" s="4" t="str">
        <f t="shared" si="1"/>
        <v>879200966542488</v>
      </c>
      <c r="D898" s="4">
        <v>6157.0</v>
      </c>
      <c r="E898" s="13" t="str">
        <f t="shared" si="50"/>
        <v>MEDIUM</v>
      </c>
      <c r="F898" s="16">
        <f>VLOOKUP(C898,Sleep!C:F,4,FALSE)</f>
        <v>0.2791666667</v>
      </c>
      <c r="G898" s="12">
        <f>VLOOKUP(C898,Sleep!C:I,7,FALSE)</f>
        <v>0.9663461538</v>
      </c>
    </row>
    <row r="899">
      <c r="A899" s="4">
        <v>8.792009665E9</v>
      </c>
      <c r="B899" s="5">
        <v>42489.0</v>
      </c>
      <c r="C899" s="4" t="str">
        <f t="shared" si="1"/>
        <v>879200966542489</v>
      </c>
      <c r="D899" s="4">
        <v>8360.0</v>
      </c>
      <c r="E899" s="13" t="str">
        <f t="shared" si="50"/>
        <v>MEDIUM</v>
      </c>
      <c r="F899" s="16">
        <f>VLOOKUP(C899,Sleep!C:F,4,FALSE)</f>
        <v>0.2763888889</v>
      </c>
      <c r="G899" s="12">
        <f>VLOOKUP(C899,Sleep!C:I,7,FALSE)</f>
        <v>0.9802955665</v>
      </c>
    </row>
    <row r="900">
      <c r="A900" s="4">
        <v>8.792009665E9</v>
      </c>
      <c r="B900" s="5">
        <v>42490.0</v>
      </c>
      <c r="C900" s="4" t="str">
        <f t="shared" si="1"/>
        <v>879200966542490</v>
      </c>
      <c r="D900" s="4">
        <v>7174.0</v>
      </c>
      <c r="E900" s="13" t="str">
        <f t="shared" si="50"/>
        <v>MEDIUM</v>
      </c>
      <c r="F900" s="16">
        <f>VLOOKUP(C900,Sleep!C:F,4,FALSE)</f>
        <v>0.2381944444</v>
      </c>
      <c r="G900" s="12">
        <f>VLOOKUP(C900,Sleep!C:I,7,FALSE)</f>
        <v>0.9527777778</v>
      </c>
    </row>
    <row r="901">
      <c r="A901" s="4">
        <v>8.792009665E9</v>
      </c>
      <c r="B901" s="5">
        <v>42491.0</v>
      </c>
      <c r="C901" s="4" t="str">
        <f t="shared" si="1"/>
        <v>879200966542491</v>
      </c>
      <c r="D901" s="4">
        <v>1619.0</v>
      </c>
      <c r="E901" s="13" t="str">
        <f t="shared" si="50"/>
        <v>LOW</v>
      </c>
      <c r="F901" s="16">
        <f>VLOOKUP(C901,Sleep!C:F,4,FALSE)</f>
        <v>0.3493055556</v>
      </c>
      <c r="G901" s="12">
        <f>VLOOKUP(C901,Sleep!C:I,7,FALSE)</f>
        <v>0.954459203</v>
      </c>
    </row>
    <row r="902">
      <c r="A902" s="4">
        <v>8.792009665E9</v>
      </c>
      <c r="B902" s="5">
        <v>42492.0</v>
      </c>
      <c r="C902" s="4" t="str">
        <f t="shared" si="1"/>
        <v>879200966542492</v>
      </c>
      <c r="D902" s="4">
        <v>1831.0</v>
      </c>
      <c r="E902" s="13" t="str">
        <f t="shared" si="50"/>
        <v>LOW</v>
      </c>
      <c r="F902" s="16">
        <f>VLOOKUP(C902,Sleep!C:F,4,FALSE)</f>
        <v>0.2881944444</v>
      </c>
      <c r="G902" s="12">
        <f>VLOOKUP(C902,Sleep!C:I,7,FALSE)</f>
        <v>0.9810874704</v>
      </c>
    </row>
    <row r="903">
      <c r="A903" s="4">
        <v>8.792009665E9</v>
      </c>
      <c r="B903" s="5">
        <v>42493.0</v>
      </c>
      <c r="C903" s="4" t="str">
        <f t="shared" si="1"/>
        <v>879200966542493</v>
      </c>
      <c r="D903" s="4">
        <v>2421.0</v>
      </c>
      <c r="E903" s="13" t="str">
        <f t="shared" si="50"/>
        <v>LOW</v>
      </c>
      <c r="F903" s="16">
        <f>VLOOKUP(C903,Sleep!C:F,4,FALSE)</f>
        <v>0.3583333333</v>
      </c>
      <c r="G903" s="12">
        <f>VLOOKUP(C903,Sleep!C:I,7,FALSE)</f>
        <v>0.9467889908</v>
      </c>
    </row>
    <row r="904">
      <c r="A904" s="4">
        <v>8.792009665E9</v>
      </c>
      <c r="B904" s="5">
        <v>42494.0</v>
      </c>
      <c r="C904" s="4" t="str">
        <f t="shared" si="1"/>
        <v>879200966542494</v>
      </c>
      <c r="D904" s="4">
        <v>2283.0</v>
      </c>
      <c r="E904" s="13" t="str">
        <f t="shared" si="50"/>
        <v>LOW</v>
      </c>
      <c r="F904" s="16">
        <f>VLOOKUP(C904,Sleep!C:F,4,FALSE)</f>
        <v>0.3048611111</v>
      </c>
      <c r="G904" s="12">
        <f>VLOOKUP(C904,Sleep!C:I,7,FALSE)</f>
        <v>0.9481641469</v>
      </c>
    </row>
    <row r="905" hidden="1">
      <c r="A905" s="4">
        <v>8.792009665E9</v>
      </c>
      <c r="B905" s="5">
        <v>42495.0</v>
      </c>
      <c r="C905" s="4" t="str">
        <f t="shared" si="1"/>
        <v>879200966542495</v>
      </c>
      <c r="D905" s="4">
        <v>0.0</v>
      </c>
      <c r="E905" s="4"/>
      <c r="F905" s="13" t="str">
        <f>VLOOKUP(C905,Sleep!C:F,4,FALSE)</f>
        <v>#N/A</v>
      </c>
    </row>
    <row r="906" hidden="1">
      <c r="A906" s="4">
        <v>8.792009665E9</v>
      </c>
      <c r="B906" s="5">
        <v>42496.0</v>
      </c>
      <c r="C906" s="4" t="str">
        <f t="shared" si="1"/>
        <v>879200966542496</v>
      </c>
      <c r="D906" s="4">
        <v>0.0</v>
      </c>
      <c r="E906" s="4"/>
      <c r="F906" s="13" t="str">
        <f>VLOOKUP(C906,Sleep!C:F,4,FALSE)</f>
        <v>#N/A</v>
      </c>
    </row>
    <row r="907" hidden="1">
      <c r="A907" s="4">
        <v>8.792009665E9</v>
      </c>
      <c r="B907" s="5">
        <v>42497.0</v>
      </c>
      <c r="C907" s="4" t="str">
        <f t="shared" si="1"/>
        <v>879200966542497</v>
      </c>
      <c r="D907" s="4">
        <v>0.0</v>
      </c>
      <c r="E907" s="4"/>
      <c r="F907" s="13" t="str">
        <f>VLOOKUP(C907,Sleep!C:F,4,FALSE)</f>
        <v>#N/A</v>
      </c>
    </row>
    <row r="908" hidden="1">
      <c r="A908" s="4">
        <v>8.792009665E9</v>
      </c>
      <c r="B908" s="5">
        <v>42498.0</v>
      </c>
      <c r="C908" s="4" t="str">
        <f t="shared" si="1"/>
        <v>879200966542498</v>
      </c>
      <c r="D908" s="4">
        <v>0.0</v>
      </c>
      <c r="E908" s="4"/>
      <c r="F908" s="13" t="str">
        <f>VLOOKUP(C908,Sleep!C:F,4,FALSE)</f>
        <v>#N/A</v>
      </c>
    </row>
    <row r="909" hidden="1">
      <c r="A909" s="4">
        <v>8.792009665E9</v>
      </c>
      <c r="B909" s="5">
        <v>42499.0</v>
      </c>
      <c r="C909" s="4" t="str">
        <f t="shared" si="1"/>
        <v>879200966542499</v>
      </c>
      <c r="D909" s="4">
        <v>0.0</v>
      </c>
      <c r="E909" s="4"/>
      <c r="F909" s="13" t="str">
        <f>VLOOKUP(C909,Sleep!C:F,4,FALSE)</f>
        <v>#N/A</v>
      </c>
    </row>
    <row r="910" hidden="1">
      <c r="A910" s="4">
        <v>8.792009665E9</v>
      </c>
      <c r="B910" s="5">
        <v>42500.0</v>
      </c>
      <c r="C910" s="4" t="str">
        <f t="shared" si="1"/>
        <v>879200966542500</v>
      </c>
      <c r="D910" s="4">
        <v>0.0</v>
      </c>
      <c r="E910" s="4"/>
      <c r="F910" s="13" t="str">
        <f>VLOOKUP(C910,Sleep!C:F,4,FALSE)</f>
        <v>#N/A</v>
      </c>
    </row>
    <row r="911" hidden="1">
      <c r="A911" s="4">
        <v>8.877689391E9</v>
      </c>
      <c r="B911" s="5">
        <v>42472.0</v>
      </c>
      <c r="C911" s="4" t="str">
        <f t="shared" si="1"/>
        <v>887768939142472</v>
      </c>
      <c r="D911" s="4">
        <v>23186.0</v>
      </c>
      <c r="E911" s="4"/>
      <c r="F911" s="13" t="str">
        <f>VLOOKUP(C911,Sleep!C:F,4,FALSE)</f>
        <v>#N/A</v>
      </c>
    </row>
    <row r="912" hidden="1">
      <c r="A912" s="4">
        <v>8.877689391E9</v>
      </c>
      <c r="B912" s="5">
        <v>42473.0</v>
      </c>
      <c r="C912" s="4" t="str">
        <f t="shared" si="1"/>
        <v>887768939142473</v>
      </c>
      <c r="D912" s="4">
        <v>15337.0</v>
      </c>
      <c r="E912" s="4"/>
      <c r="F912" s="13" t="str">
        <f>VLOOKUP(C912,Sleep!C:F,4,FALSE)</f>
        <v>#N/A</v>
      </c>
    </row>
    <row r="913" hidden="1">
      <c r="A913" s="4">
        <v>8.877689391E9</v>
      </c>
      <c r="B913" s="5">
        <v>42474.0</v>
      </c>
      <c r="C913" s="4" t="str">
        <f t="shared" si="1"/>
        <v>887768939142474</v>
      </c>
      <c r="D913" s="4">
        <v>21129.0</v>
      </c>
      <c r="E913" s="4"/>
      <c r="F913" s="13" t="str">
        <f>VLOOKUP(C913,Sleep!C:F,4,FALSE)</f>
        <v>#N/A</v>
      </c>
    </row>
    <row r="914" hidden="1">
      <c r="A914" s="4">
        <v>8.877689391E9</v>
      </c>
      <c r="B914" s="5">
        <v>42475.0</v>
      </c>
      <c r="C914" s="4" t="str">
        <f t="shared" si="1"/>
        <v>887768939142475</v>
      </c>
      <c r="D914" s="4">
        <v>13422.0</v>
      </c>
      <c r="E914" s="4"/>
      <c r="F914" s="13" t="str">
        <f>VLOOKUP(C914,Sleep!C:F,4,FALSE)</f>
        <v>#N/A</v>
      </c>
    </row>
    <row r="915" hidden="1">
      <c r="A915" s="4">
        <v>8.877689391E9</v>
      </c>
      <c r="B915" s="5">
        <v>42476.0</v>
      </c>
      <c r="C915" s="4" t="str">
        <f t="shared" si="1"/>
        <v>887768939142476</v>
      </c>
      <c r="D915" s="4">
        <v>29326.0</v>
      </c>
      <c r="E915" s="4"/>
      <c r="F915" s="13" t="str">
        <f>VLOOKUP(C915,Sleep!C:F,4,FALSE)</f>
        <v>#N/A</v>
      </c>
    </row>
    <row r="916" hidden="1">
      <c r="A916" s="4">
        <v>8.877689391E9</v>
      </c>
      <c r="B916" s="5">
        <v>42477.0</v>
      </c>
      <c r="C916" s="4" t="str">
        <f t="shared" si="1"/>
        <v>887768939142477</v>
      </c>
      <c r="D916" s="4">
        <v>15118.0</v>
      </c>
      <c r="E916" s="4"/>
      <c r="F916" s="13" t="str">
        <f>VLOOKUP(C916,Sleep!C:F,4,FALSE)</f>
        <v>#N/A</v>
      </c>
    </row>
    <row r="917" hidden="1">
      <c r="A917" s="4">
        <v>8.877689391E9</v>
      </c>
      <c r="B917" s="5">
        <v>42478.0</v>
      </c>
      <c r="C917" s="4" t="str">
        <f t="shared" si="1"/>
        <v>887768939142478</v>
      </c>
      <c r="D917" s="4">
        <v>11423.0</v>
      </c>
      <c r="E917" s="4"/>
      <c r="F917" s="13" t="str">
        <f>VLOOKUP(C917,Sleep!C:F,4,FALSE)</f>
        <v>#N/A</v>
      </c>
    </row>
    <row r="918" hidden="1">
      <c r="A918" s="4">
        <v>8.877689391E9</v>
      </c>
      <c r="B918" s="5">
        <v>42479.0</v>
      </c>
      <c r="C918" s="4" t="str">
        <f t="shared" si="1"/>
        <v>887768939142479</v>
      </c>
      <c r="D918" s="4">
        <v>18785.0</v>
      </c>
      <c r="E918" s="4"/>
      <c r="F918" s="13" t="str">
        <f>VLOOKUP(C918,Sleep!C:F,4,FALSE)</f>
        <v>#N/A</v>
      </c>
    </row>
    <row r="919" hidden="1">
      <c r="A919" s="4">
        <v>8.877689391E9</v>
      </c>
      <c r="B919" s="5">
        <v>42480.0</v>
      </c>
      <c r="C919" s="4" t="str">
        <f t="shared" si="1"/>
        <v>887768939142480</v>
      </c>
      <c r="D919" s="4">
        <v>19948.0</v>
      </c>
      <c r="E919" s="4"/>
      <c r="F919" s="13" t="str">
        <f>VLOOKUP(C919,Sleep!C:F,4,FALSE)</f>
        <v>#N/A</v>
      </c>
    </row>
    <row r="920" hidden="1">
      <c r="A920" s="4">
        <v>8.877689391E9</v>
      </c>
      <c r="B920" s="5">
        <v>42481.0</v>
      </c>
      <c r="C920" s="4" t="str">
        <f t="shared" si="1"/>
        <v>887768939142481</v>
      </c>
      <c r="D920" s="4">
        <v>19377.0</v>
      </c>
      <c r="E920" s="4"/>
      <c r="F920" s="13" t="str">
        <f>VLOOKUP(C920,Sleep!C:F,4,FALSE)</f>
        <v>#N/A</v>
      </c>
    </row>
    <row r="921" hidden="1">
      <c r="A921" s="4">
        <v>8.877689391E9</v>
      </c>
      <c r="B921" s="5">
        <v>42482.0</v>
      </c>
      <c r="C921" s="4" t="str">
        <f t="shared" si="1"/>
        <v>887768939142482</v>
      </c>
      <c r="D921" s="4">
        <v>18258.0</v>
      </c>
      <c r="E921" s="4"/>
      <c r="F921" s="13" t="str">
        <f>VLOOKUP(C921,Sleep!C:F,4,FALSE)</f>
        <v>#N/A</v>
      </c>
    </row>
    <row r="922" hidden="1">
      <c r="A922" s="4">
        <v>8.877689391E9</v>
      </c>
      <c r="B922" s="5">
        <v>42483.0</v>
      </c>
      <c r="C922" s="4" t="str">
        <f t="shared" si="1"/>
        <v>887768939142483</v>
      </c>
      <c r="D922" s="4">
        <v>11200.0</v>
      </c>
      <c r="E922" s="4"/>
      <c r="F922" s="13" t="str">
        <f>VLOOKUP(C922,Sleep!C:F,4,FALSE)</f>
        <v>#N/A</v>
      </c>
    </row>
    <row r="923" hidden="1">
      <c r="A923" s="4">
        <v>8.877689391E9</v>
      </c>
      <c r="B923" s="5">
        <v>42484.0</v>
      </c>
      <c r="C923" s="4" t="str">
        <f t="shared" si="1"/>
        <v>887768939142484</v>
      </c>
      <c r="D923" s="4">
        <v>16674.0</v>
      </c>
      <c r="E923" s="4"/>
      <c r="F923" s="13" t="str">
        <f>VLOOKUP(C923,Sleep!C:F,4,FALSE)</f>
        <v>#N/A</v>
      </c>
    </row>
    <row r="924" hidden="1">
      <c r="A924" s="4">
        <v>8.877689391E9</v>
      </c>
      <c r="B924" s="5">
        <v>42485.0</v>
      </c>
      <c r="C924" s="4" t="str">
        <f t="shared" si="1"/>
        <v>887768939142485</v>
      </c>
      <c r="D924" s="4">
        <v>12986.0</v>
      </c>
      <c r="E924" s="4"/>
      <c r="F924" s="13" t="str">
        <f>VLOOKUP(C924,Sleep!C:F,4,FALSE)</f>
        <v>#N/A</v>
      </c>
    </row>
    <row r="925" hidden="1">
      <c r="A925" s="4">
        <v>8.877689391E9</v>
      </c>
      <c r="B925" s="5">
        <v>42486.0</v>
      </c>
      <c r="C925" s="4" t="str">
        <f t="shared" si="1"/>
        <v>887768939142486</v>
      </c>
      <c r="D925" s="4">
        <v>11101.0</v>
      </c>
      <c r="E925" s="4"/>
      <c r="F925" s="13" t="str">
        <f>VLOOKUP(C925,Sleep!C:F,4,FALSE)</f>
        <v>#N/A</v>
      </c>
    </row>
    <row r="926" hidden="1">
      <c r="A926" s="4">
        <v>8.877689391E9</v>
      </c>
      <c r="B926" s="5">
        <v>42487.0</v>
      </c>
      <c r="C926" s="4" t="str">
        <f t="shared" si="1"/>
        <v>887768939142487</v>
      </c>
      <c r="D926" s="4">
        <v>23629.0</v>
      </c>
      <c r="E926" s="4"/>
      <c r="F926" s="13" t="str">
        <f>VLOOKUP(C926,Sleep!C:F,4,FALSE)</f>
        <v>#N/A</v>
      </c>
    </row>
    <row r="927" hidden="1">
      <c r="A927" s="4">
        <v>8.877689391E9</v>
      </c>
      <c r="B927" s="5">
        <v>42488.0</v>
      </c>
      <c r="C927" s="4" t="str">
        <f t="shared" si="1"/>
        <v>887768939142488</v>
      </c>
      <c r="D927" s="4">
        <v>14890.0</v>
      </c>
      <c r="E927" s="4"/>
      <c r="F927" s="13" t="str">
        <f>VLOOKUP(C927,Sleep!C:F,4,FALSE)</f>
        <v>#N/A</v>
      </c>
    </row>
    <row r="928" hidden="1">
      <c r="A928" s="4">
        <v>8.877689391E9</v>
      </c>
      <c r="B928" s="5">
        <v>42489.0</v>
      </c>
      <c r="C928" s="4" t="str">
        <f t="shared" si="1"/>
        <v>887768939142489</v>
      </c>
      <c r="D928" s="4">
        <v>9733.0</v>
      </c>
      <c r="E928" s="4"/>
      <c r="F928" s="13" t="str">
        <f>VLOOKUP(C928,Sleep!C:F,4,FALSE)</f>
        <v>#N/A</v>
      </c>
    </row>
    <row r="929" hidden="1">
      <c r="A929" s="4">
        <v>8.877689391E9</v>
      </c>
      <c r="B929" s="5">
        <v>42490.0</v>
      </c>
      <c r="C929" s="4" t="str">
        <f t="shared" si="1"/>
        <v>887768939142490</v>
      </c>
      <c r="D929" s="4">
        <v>27745.0</v>
      </c>
      <c r="E929" s="4"/>
      <c r="F929" s="13" t="str">
        <f>VLOOKUP(C929,Sleep!C:F,4,FALSE)</f>
        <v>#N/A</v>
      </c>
    </row>
    <row r="930" hidden="1">
      <c r="A930" s="4">
        <v>8.877689391E9</v>
      </c>
      <c r="B930" s="5">
        <v>42491.0</v>
      </c>
      <c r="C930" s="4" t="str">
        <f t="shared" si="1"/>
        <v>887768939142491</v>
      </c>
      <c r="D930" s="4">
        <v>10930.0</v>
      </c>
      <c r="E930" s="4"/>
      <c r="F930" s="13" t="str">
        <f>VLOOKUP(C930,Sleep!C:F,4,FALSE)</f>
        <v>#N/A</v>
      </c>
    </row>
    <row r="931" hidden="1">
      <c r="A931" s="4">
        <v>8.877689391E9</v>
      </c>
      <c r="B931" s="5">
        <v>42492.0</v>
      </c>
      <c r="C931" s="4" t="str">
        <f t="shared" si="1"/>
        <v>887768939142492</v>
      </c>
      <c r="D931" s="4">
        <v>4790.0</v>
      </c>
      <c r="E931" s="4"/>
      <c r="F931" s="13" t="str">
        <f>VLOOKUP(C931,Sleep!C:F,4,FALSE)</f>
        <v>#N/A</v>
      </c>
    </row>
    <row r="932" hidden="1">
      <c r="A932" s="4">
        <v>8.877689391E9</v>
      </c>
      <c r="B932" s="5">
        <v>42493.0</v>
      </c>
      <c r="C932" s="4" t="str">
        <f t="shared" si="1"/>
        <v>887768939142493</v>
      </c>
      <c r="D932" s="4">
        <v>10818.0</v>
      </c>
      <c r="E932" s="4"/>
      <c r="F932" s="13" t="str">
        <f>VLOOKUP(C932,Sleep!C:F,4,FALSE)</f>
        <v>#N/A</v>
      </c>
    </row>
    <row r="933" hidden="1">
      <c r="A933" s="4">
        <v>8.877689391E9</v>
      </c>
      <c r="B933" s="5">
        <v>42494.0</v>
      </c>
      <c r="C933" s="4" t="str">
        <f t="shared" si="1"/>
        <v>887768939142494</v>
      </c>
      <c r="D933" s="4">
        <v>18193.0</v>
      </c>
      <c r="E933" s="4"/>
      <c r="F933" s="13" t="str">
        <f>VLOOKUP(C933,Sleep!C:F,4,FALSE)</f>
        <v>#N/A</v>
      </c>
    </row>
    <row r="934" hidden="1">
      <c r="A934" s="4">
        <v>8.877689391E9</v>
      </c>
      <c r="B934" s="5">
        <v>42495.0</v>
      </c>
      <c r="C934" s="4" t="str">
        <f t="shared" si="1"/>
        <v>887768939142495</v>
      </c>
      <c r="D934" s="4">
        <v>14055.0</v>
      </c>
      <c r="E934" s="4"/>
      <c r="F934" s="13" t="str">
        <f>VLOOKUP(C934,Sleep!C:F,4,FALSE)</f>
        <v>#N/A</v>
      </c>
    </row>
    <row r="935" hidden="1">
      <c r="A935" s="4">
        <v>8.877689391E9</v>
      </c>
      <c r="B935" s="5">
        <v>42496.0</v>
      </c>
      <c r="C935" s="4" t="str">
        <f t="shared" si="1"/>
        <v>887768939142496</v>
      </c>
      <c r="D935" s="4">
        <v>21727.0</v>
      </c>
      <c r="E935" s="4"/>
      <c r="F935" s="13" t="str">
        <f>VLOOKUP(C935,Sleep!C:F,4,FALSE)</f>
        <v>#N/A</v>
      </c>
    </row>
    <row r="936" hidden="1">
      <c r="A936" s="4">
        <v>8.877689391E9</v>
      </c>
      <c r="B936" s="5">
        <v>42497.0</v>
      </c>
      <c r="C936" s="4" t="str">
        <f t="shared" si="1"/>
        <v>887768939142497</v>
      </c>
      <c r="D936" s="4">
        <v>12332.0</v>
      </c>
      <c r="E936" s="4"/>
      <c r="F936" s="13" t="str">
        <f>VLOOKUP(C936,Sleep!C:F,4,FALSE)</f>
        <v>#N/A</v>
      </c>
    </row>
    <row r="937" hidden="1">
      <c r="A937" s="4">
        <v>8.877689391E9</v>
      </c>
      <c r="B937" s="5">
        <v>42498.0</v>
      </c>
      <c r="C937" s="4" t="str">
        <f t="shared" si="1"/>
        <v>887768939142498</v>
      </c>
      <c r="D937" s="4">
        <v>10686.0</v>
      </c>
      <c r="E937" s="4"/>
      <c r="F937" s="13" t="str">
        <f>VLOOKUP(C937,Sleep!C:F,4,FALSE)</f>
        <v>#N/A</v>
      </c>
    </row>
    <row r="938" hidden="1">
      <c r="A938" s="4">
        <v>8.877689391E9</v>
      </c>
      <c r="B938" s="5">
        <v>42499.0</v>
      </c>
      <c r="C938" s="4" t="str">
        <f t="shared" si="1"/>
        <v>887768939142499</v>
      </c>
      <c r="D938" s="4">
        <v>20226.0</v>
      </c>
      <c r="E938" s="4"/>
      <c r="F938" s="13" t="str">
        <f>VLOOKUP(C938,Sleep!C:F,4,FALSE)</f>
        <v>#N/A</v>
      </c>
    </row>
    <row r="939" hidden="1">
      <c r="A939" s="4">
        <v>8.877689391E9</v>
      </c>
      <c r="B939" s="5">
        <v>42500.0</v>
      </c>
      <c r="C939" s="4" t="str">
        <f t="shared" si="1"/>
        <v>887768939142500</v>
      </c>
      <c r="D939" s="4">
        <v>10733.0</v>
      </c>
      <c r="E939" s="4"/>
      <c r="F939" s="13" t="str">
        <f>VLOOKUP(C939,Sleep!C:F,4,FALSE)</f>
        <v>#N/A</v>
      </c>
    </row>
    <row r="940" hidden="1">
      <c r="A940" s="4">
        <v>8.877689391E9</v>
      </c>
      <c r="B940" s="5">
        <v>42501.0</v>
      </c>
      <c r="C940" s="4" t="str">
        <f t="shared" si="1"/>
        <v>887768939142501</v>
      </c>
      <c r="D940" s="4">
        <v>21420.0</v>
      </c>
      <c r="E940" s="4"/>
      <c r="F940" s="13" t="str">
        <f>VLOOKUP(C940,Sleep!C:F,4,FALSE)</f>
        <v>#N/A</v>
      </c>
    </row>
    <row r="941" hidden="1">
      <c r="A941" s="4">
        <v>8.877689391E9</v>
      </c>
      <c r="B941" s="5">
        <v>42502.0</v>
      </c>
      <c r="C941" s="4" t="str">
        <f t="shared" si="1"/>
        <v>887768939142502</v>
      </c>
      <c r="D941" s="4">
        <v>8064.0</v>
      </c>
      <c r="E941" s="4"/>
      <c r="F941" s="13" t="str">
        <f>VLOOKUP(C941,Sleep!C:F,4,FALSE)</f>
        <v>#N/A</v>
      </c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autoFilter ref="$A$1:$G$941">
    <filterColumn colId="5">
      <filters>
        <filter val="10:30:00"/>
        <filter val="2:06:00"/>
        <filter val="5:49:00"/>
        <filter val="3:57:00"/>
        <filter val="7:18:00"/>
        <filter val="8:12:00"/>
        <filter val="6:20:00"/>
        <filter val="6:19:00"/>
        <filter val="1:59:00"/>
        <filter val="7:42:00"/>
        <filter val="5:50:00"/>
        <filter val="4:22:00"/>
        <filter val="8:06:00"/>
        <filter val="7:36:00"/>
        <filter val="9:51:00"/>
        <filter val="9:28:00"/>
        <filter val="6:08:00"/>
        <filter val="6:14:00"/>
        <filter val="1:02:00"/>
        <filter val="8:58:00"/>
        <filter val="6:25:00"/>
        <filter val="8:17:00"/>
        <filter val="2:17:00"/>
        <filter val="7:47:00"/>
        <filter val="5:55:00"/>
        <filter val="4:33:00"/>
        <filter val="6:31:00"/>
        <filter val="8:23:00"/>
        <filter val="5:38:00"/>
        <filter val="3:46:00"/>
        <filter val="7:01:00"/>
        <filter val="7:58:00"/>
        <filter val="7:35:00"/>
        <filter val="6:36:00"/>
        <filter val="6:42:00"/>
        <filter val="8:01:00"/>
        <filter val="3:39:00"/>
        <filter val="6:49:00"/>
        <filter val="8:18:00"/>
        <filter val="1:01:00"/>
        <filter val="2:46:00"/>
        <filter val="4:34:00"/>
        <filter val="8:24:00"/>
        <filter val="7:29:00"/>
        <filter val="6:55:00"/>
        <filter val="10:58:00"/>
        <filter val="7:02:00"/>
        <filter val="5:33:00"/>
        <filter val="4:45:00"/>
        <filter val="4:51:00"/>
        <filter val="10:00:00"/>
        <filter val="8:35:00"/>
        <filter val="9:09:00"/>
        <filter val="5:25:00"/>
        <filter val="7:13:00"/>
        <filter val="7:30:00"/>
        <filter val="4:56:00"/>
        <filter val="7:41:00"/>
        <filter val="10:19:00"/>
        <filter val="5:19:00"/>
        <filter val="7:24:00"/>
        <filter val="9:12:00"/>
        <filter val="7:07:00"/>
        <filter val="7:08:00"/>
        <filter val="6:38:00"/>
        <filter val="6:09:00"/>
        <filter val="8:07:00"/>
        <filter val="6:44:00"/>
        <filter val="7:37:00"/>
        <filter val="8:36:00"/>
        <filter val="5:22:00"/>
        <filter val="5:54:00"/>
        <filter val="4:55:00"/>
        <filter val="1:17:00"/>
        <filter val="5:31:00"/>
        <filter val="1:55:00"/>
        <filter val="10:31:00"/>
        <filter val="4:43:00"/>
        <filter val="2:51:00"/>
        <filter val="6:10:00"/>
        <filter val="5:27:00"/>
        <filter val="7:32:00"/>
        <filter val="9:03:00"/>
        <filter val="7:19:00"/>
        <filter val="6:04:00"/>
        <filter val="4:37:00"/>
        <filter val="4:05:00"/>
        <filter val="6:21:00"/>
        <filter val="8:13:00"/>
        <filter val="8:48:00"/>
        <filter val="5:59:00"/>
        <filter val="11:21:00"/>
        <filter val="7:26:00"/>
        <filter val="7:43:00"/>
        <filter val="4:21:00"/>
        <filter val="8:53:00"/>
        <filter val="3:55:00"/>
        <filter val="7:54:00"/>
        <filter val="7:31:00"/>
        <filter val="5:43:00"/>
        <filter val="5:04:00"/>
        <filter val="9:13:00"/>
        <filter val="7:48:00"/>
        <filter val="6:03:00"/>
        <filter val="8:20:00"/>
        <filter val="6:32:00"/>
        <filter val="8:47:00"/>
        <filter val="5:10:00"/>
        <filter val="5:37:00"/>
        <filter val="7:25:00"/>
        <filter val="6:59:00"/>
        <filter val="3:50:00"/>
        <filter val="8:31:00"/>
        <filter val="8:08:00"/>
        <filter val="7:59:00"/>
        <filter val="3:33:00"/>
        <filter val="8:42:00"/>
        <filter val="6:48:00"/>
        <filter val="4:10:00"/>
        <filter val="8:19:00"/>
        <filter val="1:39:00"/>
        <filter val="7:03:00"/>
        <filter val="8:25:00"/>
        <filter val="6:54:00"/>
        <filter val="7:20:00"/>
        <filter val="5:32:00"/>
        <filter val="7:10:00"/>
        <filter val="8:55:00"/>
        <filter val="7:33:00"/>
        <filter val="7:56:00"/>
        <filter val="9:25:00"/>
        <filter val="8:26:00"/>
        <filter val="9:54:00"/>
        <filter val="6:34:00"/>
        <filter val="8:03:00"/>
        <filter val="6:40:00"/>
        <filter val="5:41:00"/>
        <filter val="9:02:00"/>
        <filter val="1:22:00"/>
        <filter val="6:28:00"/>
        <filter val="4:13:00"/>
        <filter val="7:27:00"/>
        <filter val="12:02:00"/>
        <filter val="5:12:00"/>
        <filter val="6:57:00"/>
        <filter val="8:49:00"/>
        <filter val="7:04:00"/>
        <filter val="7:09:00"/>
        <filter val="2:03:00"/>
        <filter val="6:39:00"/>
        <filter val="9:07:00"/>
        <filter val="7:15:00"/>
        <filter val="6:45:00"/>
        <filter val="8:50:00"/>
        <filter val="11:32:00"/>
        <filter val="10:44:00"/>
        <filter val="5:23:00"/>
        <filter val="6:00:00"/>
        <filter val="8:44:00"/>
        <filter val="6:52:00"/>
        <filter val="7:22:00"/>
        <filter val="2:04:00"/>
        <filter val="0:58:00"/>
        <filter val="4:19:00"/>
        <filter val="10:03:00"/>
        <filter val="7:16:00"/>
        <filter val="10:22:00"/>
        <filter val="12:30:00"/>
        <filter val="5:47:00"/>
        <filter val="5:28:00"/>
        <filter val="8:43:00"/>
        <filter val="4:53:00"/>
        <filter val="6:22:00"/>
        <filter val="8:09:00"/>
        <filter val="7:21:00"/>
        <filter val="1:38:00"/>
        <filter val="5:42:00"/>
        <filter val="7:55:00"/>
        <filter val="2:32:00"/>
        <filter val="8:10:00"/>
        <filter val="8:04:00"/>
        <filter val="6:33:00"/>
        <filter val="7:38:00"/>
        <filter val="9:01:00"/>
        <filter val="1:46:00"/>
        <filter val="5:53:00"/>
        <filter val="8:21:00"/>
        <filter val="7:49:00"/>
        <filter val="6:27:00"/>
        <filter val="10:11:00"/>
        <filter val="5:36:00"/>
        <filter val="6:58:00"/>
        <filter val="4:46:00"/>
        <filter val="9:50:00"/>
        <filter val="5:39:00"/>
        <filter val="8:51:00"/>
        <filter val="4:52:00"/>
        <filter val="7:52:00"/>
        <filter val="12:55:00"/>
        <filter val="6:01:00"/>
        <filter val="9:15:00"/>
        <filter val="8:16:00"/>
        <filter val="7:46:00"/>
        <filter val="6:24:00"/>
        <filter val="8:22:00"/>
        <filter val="6:30:00"/>
        <filter val="8:45:00"/>
        <filter val="7:00:00"/>
        <filter val="7:23:00"/>
        <filter val="13:16:00"/>
        <filter val="7:57:00"/>
        <filter val="8:27:00"/>
        <filter val="8:33:00"/>
        <filter val="10:02:00"/>
        <filter val="6:41:00"/>
        <filter val="5:02:00"/>
        <filter val="1:43:00"/>
        <filter val="7:11:00"/>
        <filter val="5:40:00"/>
        <filter val="4:58:00"/>
        <filter val="8:40:00"/>
        <filter val="6:56:00"/>
        <filter val="10:51:00"/>
        <filter val="5:51:00"/>
        <filter val="5:34:00"/>
        <filter val="7:05:00"/>
        <filter val="9:10:00"/>
        <filter val="8:05:00"/>
        <filter val="8:28:00"/>
        <filter val="6:17:00"/>
        <filter val="7:39:00"/>
        <filter val="8:34:00"/>
        <filter val="6:46:00"/>
        <filter val="7:12:00"/>
        <filter val="6:51:00"/>
        <filter val="7:40:00"/>
        <filter val="7:06:00"/>
        <filter val="5:18:00"/>
        <filter val="1:19:00"/>
        <filter val="7:34:00"/>
        <filter val="0:59:00"/>
        <filter val="8:00:00"/>
        <filter val="7:51:00"/>
        <filter val="9:05:00"/>
        <filter val="7:17:00"/>
        <filter val="5:29:00"/>
        <filter val="11:40:00"/>
        <filter val="7:45:00"/>
        <filter val="4:07:00"/>
        <filter val="6:06:00"/>
        <filter val="6:23:00"/>
        <filter val="9:33:00"/>
        <filter val="5:57:00"/>
        <filter val="7:28:00"/>
        <filter val="1:14:00"/>
        <filter val="9:16:00"/>
      </filters>
    </filterColumn>
  </autoFilter>
  <drawing r:id="rId2"/>
</worksheet>
</file>